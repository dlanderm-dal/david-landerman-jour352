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DBOOK\"/>
    </mc:Choice>
  </mc:AlternateContent>
  <bookViews>
    <workbookView xWindow="0" yWindow="0" windowWidth="21570" windowHeight="8055" activeTab="2"/>
  </bookViews>
  <sheets>
    <sheet name="Manufacturer Info" sheetId="1" r:id="rId1"/>
    <sheet name="REDBOOKSearchResults" sheetId="2" r:id="rId2"/>
    <sheet name="Sheet1" sheetId="3" r:id="rId3"/>
  </sheets>
  <calcPr calcId="162913"/>
</workbook>
</file>

<file path=xl/calcChain.xml><?xml version="1.0" encoding="utf-8"?>
<calcChain xmlns="http://schemas.openxmlformats.org/spreadsheetml/2006/main">
  <c r="A4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3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E144" i="3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43" i="3"/>
  <c r="E124" i="3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23" i="3"/>
  <c r="E104" i="3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03" i="3"/>
  <c r="E84" i="3"/>
  <c r="E85" i="3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83" i="3"/>
  <c r="E81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6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4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23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G2" i="3"/>
  <c r="F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3" i="3"/>
  <c r="A2" i="3"/>
  <c r="A1" i="3"/>
</calcChain>
</file>

<file path=xl/sharedStrings.xml><?xml version="1.0" encoding="utf-8"?>
<sst xmlns="http://schemas.openxmlformats.org/spreadsheetml/2006/main" count="293" uniqueCount="86">
  <si>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</si>
  <si>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</si>
  <si>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</si>
  <si>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</si>
  <si>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</si>
  <si>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</si>
  <si>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</si>
  <si>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</si>
  <si>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</si>
  <si>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</si>
  <si>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</si>
  <si>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</si>
  <si>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</si>
  <si>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</si>
  <si>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</si>
  <si>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</si>
  <si>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</si>
  <si>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</si>
  <si>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</si>
  <si>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</si>
  <si>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</si>
  <si>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</si>
  <si>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</si>
  <si>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</si>
  <si>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</si>
  <si>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</si>
  <si>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</si>
  <si>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</si>
  <si>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</si>
  <si>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</si>
  <si>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</si>
  <si>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</si>
  <si>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</si>
  <si>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</si>
  <si>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</si>
  <si>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</si>
  <si>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BRISTOL-MYERS SQUIBB CO.</t>
  </si>
  <si>
    <t>POMALYST</t>
  </si>
  <si>
    <t>NDA</t>
  </si>
  <si>
    <t>N</t>
  </si>
  <si>
    <t/>
  </si>
  <si>
    <t>pomalidomide</t>
  </si>
  <si>
    <t>NDC</t>
  </si>
  <si>
    <t>59572-0504-21</t>
  </si>
  <si>
    <t>CAP</t>
  </si>
  <si>
    <t>4 mg</t>
  </si>
  <si>
    <t>ORAL</t>
  </si>
  <si>
    <t>21s ea</t>
  </si>
  <si>
    <t xml:space="preserve">     25049.70</t>
  </si>
  <si>
    <t>01/01/2026</t>
  </si>
  <si>
    <t xml:space="preserve">     30059.64</t>
  </si>
  <si>
    <t xml:space="preserve">      1431.41143</t>
  </si>
  <si>
    <t>RX</t>
  </si>
  <si>
    <t>59572-0504-00</t>
  </si>
  <si>
    <t>100s ea</t>
  </si>
  <si>
    <t xml:space="preserve">    119284.25</t>
  </si>
  <si>
    <t xml:space="preserve">    143141.10</t>
  </si>
  <si>
    <t xml:space="preserve">      1431.41100</t>
  </si>
  <si>
    <t>59572-0503-21</t>
  </si>
  <si>
    <t>3 mg</t>
  </si>
  <si>
    <t>59572-0503-00</t>
  </si>
  <si>
    <t>59572-0502-21</t>
  </si>
  <si>
    <t>2 mg</t>
  </si>
  <si>
    <t>59572-0502-00</t>
  </si>
  <si>
    <t>59572-0501-00</t>
  </si>
  <si>
    <t>1 mg</t>
  </si>
  <si>
    <t>59572-0501-21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</si>
  <si>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</si>
  <si>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</si>
  <si>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</si>
  <si>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</si>
  <si>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</si>
  <si>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</si>
  <si>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</si>
  <si>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</si>
  <si>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</si>
  <si>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</si>
  <si>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</si>
  <si>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P. O. BOX 4500</t>
  </si>
  <si>
    <t>PRINCETON</t>
  </si>
  <si>
    <t>NJ</t>
  </si>
  <si>
    <t>08543</t>
  </si>
  <si>
    <t>(609) 897-2000</t>
  </si>
  <si>
    <t>Effective Date</t>
  </si>
  <si>
    <t>Unit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</si>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</sst>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5153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2.75" x14ac:dyDescent="0.2"/>
  <cols>
    <col min="1" max="1" width="24.85546875" customWidth="1"/>
    <col min="2" max="3" width="9.85546875" customWidth="1"/>
    <col min="4" max="4" width="4.85546875" customWidth="1"/>
    <col min="5" max="5" width="5.85546875" customWidth="1"/>
    <col min="6" max="6" width="3.7109375" customWidth="1"/>
    <col min="7" max="7" width="5.7109375" customWidth="1"/>
    <col min="8" max="8" width="16.85546875" customWidth="1"/>
    <col min="9" max="9" width="22.85546875" customWidth="1"/>
    <col min="10" max="10" width="9.85546875" customWidth="1"/>
    <col min="11" max="11" width="16.85546875" customWidth="1"/>
    <col min="12" max="12" width="14.7109375" customWidth="1"/>
  </cols>
  <sheetData>
    <row r="1" spans="1:12" x14ac:dyDescent="0.2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 x14ac:dyDescent="0.2">
      <c r="A2" t="s">
        <v>36</v>
      </c>
      <c r="B2" t="s">
        <v>78</v>
      </c>
      <c r="C2" t="s">
        <v>40</v>
      </c>
      <c r="D2" t="s">
        <v>79</v>
      </c>
      <c r="E2" t="s">
        <v>80</v>
      </c>
      <c r="F2" t="s">
        <v>81</v>
      </c>
      <c r="G2" t="s">
        <v>82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workbookViewId="0">
      <selection activeCell="M1" sqref="M1"/>
    </sheetView>
  </sheetViews>
  <sheetFormatPr defaultRowHeight="12.75" x14ac:dyDescent="0.2"/>
  <cols>
    <col min="1" max="1" width="24.85546875" customWidth="1"/>
    <col min="2" max="2" width="12.7109375" customWidth="1"/>
    <col min="3" max="3" width="11.85546875" customWidth="1"/>
    <col min="4" max="4" width="18.85546875" customWidth="1"/>
    <col min="5" max="5" width="16.85546875" customWidth="1"/>
    <col min="6" max="6" width="17.85546875" customWidth="1"/>
    <col min="7" max="7" width="7.85546875" customWidth="1"/>
    <col min="8" max="8" width="10.85546875" customWidth="1"/>
    <col min="9" max="9" width="16.85546875" customWidth="1"/>
    <col min="10" max="10" width="9.85546875" customWidth="1"/>
    <col min="11" max="11" width="10.7109375" customWidth="1"/>
    <col min="12" max="12" width="4.7109375" customWidth="1"/>
    <col min="13" max="13" width="8.85546875" customWidth="1"/>
    <col min="14" max="14" width="5.85546875" customWidth="1"/>
    <col min="15" max="15" width="12.7109375" customWidth="1"/>
    <col min="16" max="16" width="9.85546875" customWidth="1"/>
    <col min="17" max="17" width="18" customWidth="1"/>
    <col min="18" max="18" width="19" customWidth="1"/>
    <col min="19" max="19" width="7.85546875" customWidth="1"/>
    <col min="20" max="20" width="22.85546875" customWidth="1"/>
    <col min="21" max="21" width="17.85546875" customWidth="1"/>
    <col min="22" max="22" width="14.85546875" customWidth="1"/>
    <col min="23" max="23" width="18.85546875" customWidth="1"/>
    <col min="24" max="24" width="7.85546875" customWidth="1"/>
    <col min="25" max="25" width="22.85546875" customWidth="1"/>
    <col min="26" max="26" width="18.85546875" customWidth="1"/>
    <col min="27" max="27" width="19.85546875" customWidth="1"/>
    <col min="28" max="28" width="8.85546875" customWidth="1"/>
    <col min="29" max="29" width="23.85546875" customWidth="1"/>
    <col min="30" max="30" width="17.85546875" customWidth="1"/>
    <col min="31" max="31" width="18.85546875" customWidth="1"/>
    <col min="32" max="32" width="7.85546875" customWidth="1"/>
    <col min="33" max="33" width="22.85546875" customWidth="1"/>
    <col min="34" max="34" width="9.85546875" customWidth="1"/>
    <col min="35" max="35" width="20.85546875" customWidth="1"/>
    <col min="36" max="36" width="17.8554687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39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39</v>
      </c>
      <c r="Q2" t="s">
        <v>48</v>
      </c>
      <c r="R2" t="s">
        <v>49</v>
      </c>
      <c r="U2" t="s">
        <v>50</v>
      </c>
      <c r="V2" t="s">
        <v>51</v>
      </c>
      <c r="W2" t="s">
        <v>49</v>
      </c>
      <c r="Z2" t="s">
        <v>40</v>
      </c>
      <c r="AA2" t="s">
        <v>40</v>
      </c>
      <c r="AD2" t="s">
        <v>40</v>
      </c>
      <c r="AE2" t="s">
        <v>40</v>
      </c>
      <c r="AH2" t="s">
        <v>52</v>
      </c>
      <c r="AI2" t="s">
        <v>40</v>
      </c>
      <c r="AJ2" t="s">
        <v>40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39</v>
      </c>
      <c r="H3" t="s">
        <v>39</v>
      </c>
      <c r="I3" t="s">
        <v>40</v>
      </c>
      <c r="J3" t="s">
        <v>42</v>
      </c>
      <c r="K3" t="s">
        <v>53</v>
      </c>
      <c r="L3" t="s">
        <v>44</v>
      </c>
      <c r="M3" t="s">
        <v>45</v>
      </c>
      <c r="N3" t="s">
        <v>46</v>
      </c>
      <c r="O3" t="s">
        <v>54</v>
      </c>
      <c r="P3" t="s">
        <v>39</v>
      </c>
      <c r="Q3" t="s">
        <v>55</v>
      </c>
      <c r="R3" t="s">
        <v>49</v>
      </c>
      <c r="U3" t="s">
        <v>56</v>
      </c>
      <c r="V3" t="s">
        <v>57</v>
      </c>
      <c r="W3" t="s">
        <v>49</v>
      </c>
      <c r="Z3" t="s">
        <v>40</v>
      </c>
      <c r="AA3" t="s">
        <v>40</v>
      </c>
      <c r="AD3" t="s">
        <v>40</v>
      </c>
      <c r="AE3" t="s">
        <v>40</v>
      </c>
      <c r="AH3" t="s">
        <v>52</v>
      </c>
      <c r="AI3" t="s">
        <v>40</v>
      </c>
      <c r="AJ3" t="s">
        <v>40</v>
      </c>
    </row>
    <row r="4" spans="1:36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39</v>
      </c>
      <c r="H4" t="s">
        <v>39</v>
      </c>
      <c r="I4" t="s">
        <v>40</v>
      </c>
      <c r="J4" t="s">
        <v>42</v>
      </c>
      <c r="K4" t="s">
        <v>58</v>
      </c>
      <c r="L4" t="s">
        <v>44</v>
      </c>
      <c r="M4" t="s">
        <v>59</v>
      </c>
      <c r="N4" t="s">
        <v>46</v>
      </c>
      <c r="O4" t="s">
        <v>47</v>
      </c>
      <c r="P4" t="s">
        <v>39</v>
      </c>
      <c r="Q4" t="s">
        <v>48</v>
      </c>
      <c r="R4" t="s">
        <v>49</v>
      </c>
      <c r="U4" t="s">
        <v>50</v>
      </c>
      <c r="V4" t="s">
        <v>51</v>
      </c>
      <c r="W4" t="s">
        <v>49</v>
      </c>
      <c r="Z4" t="s">
        <v>40</v>
      </c>
      <c r="AA4" t="s">
        <v>40</v>
      </c>
      <c r="AD4" t="s">
        <v>40</v>
      </c>
      <c r="AE4" t="s">
        <v>40</v>
      </c>
      <c r="AH4" t="s">
        <v>52</v>
      </c>
      <c r="AI4" t="s">
        <v>40</v>
      </c>
      <c r="AJ4" t="s">
        <v>40</v>
      </c>
    </row>
    <row r="5" spans="1:36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39</v>
      </c>
      <c r="H5" t="s">
        <v>39</v>
      </c>
      <c r="I5" t="s">
        <v>40</v>
      </c>
      <c r="J5" t="s">
        <v>42</v>
      </c>
      <c r="K5" t="s">
        <v>60</v>
      </c>
      <c r="L5" t="s">
        <v>44</v>
      </c>
      <c r="M5" t="s">
        <v>59</v>
      </c>
      <c r="N5" t="s">
        <v>46</v>
      </c>
      <c r="O5" t="s">
        <v>54</v>
      </c>
      <c r="P5" t="s">
        <v>39</v>
      </c>
      <c r="Q5" t="s">
        <v>55</v>
      </c>
      <c r="R5" t="s">
        <v>49</v>
      </c>
      <c r="U5" t="s">
        <v>56</v>
      </c>
      <c r="V5" t="s">
        <v>57</v>
      </c>
      <c r="W5" t="s">
        <v>49</v>
      </c>
      <c r="Z5" t="s">
        <v>40</v>
      </c>
      <c r="AA5" t="s">
        <v>40</v>
      </c>
      <c r="AD5" t="s">
        <v>40</v>
      </c>
      <c r="AE5" t="s">
        <v>40</v>
      </c>
      <c r="AH5" t="s">
        <v>52</v>
      </c>
      <c r="AI5" t="s">
        <v>40</v>
      </c>
      <c r="AJ5" t="s">
        <v>40</v>
      </c>
    </row>
    <row r="6" spans="1:36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39</v>
      </c>
      <c r="H6" t="s">
        <v>39</v>
      </c>
      <c r="I6" t="s">
        <v>40</v>
      </c>
      <c r="J6" t="s">
        <v>42</v>
      </c>
      <c r="K6" t="s">
        <v>61</v>
      </c>
      <c r="L6" t="s">
        <v>44</v>
      </c>
      <c r="M6" t="s">
        <v>62</v>
      </c>
      <c r="N6" t="s">
        <v>46</v>
      </c>
      <c r="O6" t="s">
        <v>47</v>
      </c>
      <c r="P6" t="s">
        <v>39</v>
      </c>
      <c r="Q6" t="s">
        <v>48</v>
      </c>
      <c r="R6" t="s">
        <v>49</v>
      </c>
      <c r="U6" t="s">
        <v>50</v>
      </c>
      <c r="V6" t="s">
        <v>51</v>
      </c>
      <c r="W6" t="s">
        <v>49</v>
      </c>
      <c r="Z6" t="s">
        <v>40</v>
      </c>
      <c r="AA6" t="s">
        <v>40</v>
      </c>
      <c r="AD6" t="s">
        <v>40</v>
      </c>
      <c r="AE6" t="s">
        <v>40</v>
      </c>
      <c r="AH6" t="s">
        <v>52</v>
      </c>
      <c r="AI6" t="s">
        <v>40</v>
      </c>
      <c r="AJ6" t="s">
        <v>40</v>
      </c>
    </row>
    <row r="7" spans="1:36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39</v>
      </c>
      <c r="I7" t="s">
        <v>40</v>
      </c>
      <c r="J7" t="s">
        <v>42</v>
      </c>
      <c r="K7" t="s">
        <v>63</v>
      </c>
      <c r="L7" t="s">
        <v>44</v>
      </c>
      <c r="M7" t="s">
        <v>62</v>
      </c>
      <c r="N7" t="s">
        <v>46</v>
      </c>
      <c r="O7" t="s">
        <v>54</v>
      </c>
      <c r="P7" t="s">
        <v>39</v>
      </c>
      <c r="Q7" t="s">
        <v>55</v>
      </c>
      <c r="R7" t="s">
        <v>49</v>
      </c>
      <c r="U7" t="s">
        <v>56</v>
      </c>
      <c r="V7" t="s">
        <v>57</v>
      </c>
      <c r="W7" t="s">
        <v>49</v>
      </c>
      <c r="Z7" t="s">
        <v>40</v>
      </c>
      <c r="AA7" t="s">
        <v>40</v>
      </c>
      <c r="AD7" t="s">
        <v>40</v>
      </c>
      <c r="AE7" t="s">
        <v>40</v>
      </c>
      <c r="AH7" t="s">
        <v>52</v>
      </c>
      <c r="AI7" t="s">
        <v>40</v>
      </c>
      <c r="AJ7" t="s">
        <v>40</v>
      </c>
    </row>
    <row r="8" spans="1:36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39</v>
      </c>
      <c r="H8" t="s">
        <v>39</v>
      </c>
      <c r="I8" t="s">
        <v>40</v>
      </c>
      <c r="J8" t="s">
        <v>42</v>
      </c>
      <c r="K8" t="s">
        <v>64</v>
      </c>
      <c r="L8" t="s">
        <v>44</v>
      </c>
      <c r="M8" t="s">
        <v>65</v>
      </c>
      <c r="N8" t="s">
        <v>46</v>
      </c>
      <c r="O8" t="s">
        <v>54</v>
      </c>
      <c r="P8" t="s">
        <v>39</v>
      </c>
      <c r="Q8" t="s">
        <v>55</v>
      </c>
      <c r="R8" t="s">
        <v>49</v>
      </c>
      <c r="U8" t="s">
        <v>56</v>
      </c>
      <c r="V8" t="s">
        <v>57</v>
      </c>
      <c r="W8" t="s">
        <v>49</v>
      </c>
      <c r="Z8" t="s">
        <v>40</v>
      </c>
      <c r="AA8" t="s">
        <v>40</v>
      </c>
      <c r="AD8" t="s">
        <v>40</v>
      </c>
      <c r="AE8" t="s">
        <v>40</v>
      </c>
      <c r="AH8" t="s">
        <v>52</v>
      </c>
      <c r="AI8" t="s">
        <v>40</v>
      </c>
      <c r="AJ8" t="s">
        <v>40</v>
      </c>
    </row>
    <row r="9" spans="1:36" x14ac:dyDescent="0.2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39</v>
      </c>
      <c r="H9" t="s">
        <v>39</v>
      </c>
      <c r="I9" t="s">
        <v>40</v>
      </c>
      <c r="J9" t="s">
        <v>42</v>
      </c>
      <c r="K9" t="s">
        <v>66</v>
      </c>
      <c r="L9" t="s">
        <v>44</v>
      </c>
      <c r="M9" t="s">
        <v>65</v>
      </c>
      <c r="N9" t="s">
        <v>46</v>
      </c>
      <c r="O9" t="s">
        <v>47</v>
      </c>
      <c r="P9" t="s">
        <v>39</v>
      </c>
      <c r="Q9" t="s">
        <v>48</v>
      </c>
      <c r="R9" t="s">
        <v>49</v>
      </c>
      <c r="U9" t="s">
        <v>50</v>
      </c>
      <c r="V9" t="s">
        <v>51</v>
      </c>
      <c r="W9" t="s">
        <v>49</v>
      </c>
      <c r="Z9" t="s">
        <v>40</v>
      </c>
      <c r="AA9" t="s">
        <v>40</v>
      </c>
      <c r="AD9" t="s">
        <v>40</v>
      </c>
      <c r="AE9" t="s">
        <v>40</v>
      </c>
      <c r="AH9" t="s">
        <v>52</v>
      </c>
      <c r="AI9" t="s">
        <v>40</v>
      </c>
      <c r="AJ9" t="s">
        <v>40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selection activeCell="I1" sqref="I1"/>
    </sheetView>
  </sheetViews>
  <sheetFormatPr defaultRowHeight="12.75" x14ac:dyDescent="0.2"/>
  <cols>
    <col min="1" max="1" width="12.85546875" bestFit="1" customWidth="1"/>
    <col min="2" max="2" width="12.28515625" bestFit="1" customWidth="1"/>
    <col min="5" max="5" width="13.28515625" bestFit="1" customWidth="1"/>
  </cols>
  <sheetData>
    <row r="1" spans="1:8" x14ac:dyDescent="0.2">
      <c r="A1" t="str">
        <f>REDBOOKSearchResults!B1</f>
        <v>Product Name</v>
      </c>
      <c r="B1" s="2" t="s">
        <v>83</v>
      </c>
      <c r="C1" s="2" t="s">
        <v>84</v>
      </c>
      <c r="D1" s="2" t="s">
        <v>85</v>
      </c>
      <c r="E1" s="2" t="s">
        <v>10</v>
      </c>
      <c r="F1" t="s">
        <v>12</v>
      </c>
      <c r="G1" t="s">
        <v>14</v>
      </c>
    </row>
    <row r="2" spans="1:8" x14ac:dyDescent="0.2">
      <c r="A2" t="str">
        <f>REDBOOKSearchResults!B$2</f>
        <v>POMALYST</v>
      </c>
      <c r="B2" s="3">
        <v>46023</v>
      </c>
      <c r="C2" s="4">
        <v>1431.4114300000001</v>
      </c>
      <c r="D2" s="4">
        <v>4.5</v>
      </c>
      <c r="E2" s="1" t="s">
        <v>43</v>
      </c>
      <c r="F2" t="str">
        <f>INDEX(REDBOOKSearchResults!$A$1:$AK$100, MATCH($E2, INDEX(REDBOOKSearchResults!$A$1:$AK$100, 0, MATCH($E$1, REDBOOKSearchResults!$1:$1, 0)), 0), MATCH(F$1, REDBOOKSearchResults!$1:$1, 0))</f>
        <v>4 mg</v>
      </c>
      <c r="G2" t="str">
        <f>INDEX(REDBOOKSearchResults!$A$1:$AK$100, MATCH($E2, INDEX(REDBOOKSearchResults!$A$1:$AK$100, 0, MATCH($E$1, REDBOOKSearchResults!$1:$1, 0)), 0), MATCH(G$1, REDBOOKSearchResults!$1:$1, 0))</f>
        <v>21s ea</v>
      </c>
    </row>
    <row r="3" spans="1:8" x14ac:dyDescent="0.2">
      <c r="A3" t="str">
        <f>A2</f>
        <v>POMALYST</v>
      </c>
      <c r="B3" s="3">
        <v>45658</v>
      </c>
      <c r="C3" s="4">
        <v>1369.77143</v>
      </c>
      <c r="D3" s="4">
        <v>4.5</v>
      </c>
      <c r="E3" s="4" t="str">
        <f>E$2</f>
        <v>59572-0504-21</v>
      </c>
      <c r="F3" t="str">
        <f>INDEX(REDBOOKSearchResults!$A$1:$AK$100, MATCH($E3, INDEX(REDBOOKSearchResults!$A$1:$AK$100, 0, MATCH($E$1, REDBOOKSearchResults!$1:$1, 0)), 0), MATCH(F$1, REDBOOKSearchResults!$1:$1, 0))</f>
        <v>4 mg</v>
      </c>
      <c r="G3" t="str">
        <f>INDEX(REDBOOKSearchResults!$A$1:$AK$100, MATCH($E3, INDEX(REDBOOKSearchResults!$A$1:$AK$100, 0, MATCH($E$1, REDBOOKSearchResults!$1:$1, 0)), 0), MATCH(G$1, REDBOOKSearchResults!$1:$1, 0))</f>
        <v>21s ea</v>
      </c>
    </row>
    <row r="4" spans="1:8" x14ac:dyDescent="0.2">
      <c r="A4" t="str">
        <f t="shared" ref="A4:A67" si="0">A3</f>
        <v>POMALYST</v>
      </c>
      <c r="B4" s="3">
        <v>45292</v>
      </c>
      <c r="C4" s="4">
        <v>1310.78619</v>
      </c>
      <c r="D4" s="4">
        <v>6</v>
      </c>
      <c r="E4" s="4" t="str">
        <f t="shared" ref="E4:E21" si="1">E$2</f>
        <v>59572-0504-21</v>
      </c>
      <c r="F4" t="str">
        <f>INDEX(REDBOOKSearchResults!$A$1:$AK$100, MATCH($E4, INDEX(REDBOOKSearchResults!$A$1:$AK$100, 0, MATCH($E$1, REDBOOKSearchResults!$1:$1, 0)), 0), MATCH(F$1, REDBOOKSearchResults!$1:$1, 0))</f>
        <v>4 mg</v>
      </c>
      <c r="G4" t="str">
        <f>INDEX(REDBOOKSearchResults!$A$1:$AK$100, MATCH($E4, INDEX(REDBOOKSearchResults!$A$1:$AK$100, 0, MATCH($E$1, REDBOOKSearchResults!$1:$1, 0)), 0), MATCH(G$1, REDBOOKSearchResults!$1:$1, 0))</f>
        <v>21s ea</v>
      </c>
    </row>
    <row r="5" spans="1:8" x14ac:dyDescent="0.2">
      <c r="A5" t="str">
        <f t="shared" si="0"/>
        <v>POMALYST</v>
      </c>
      <c r="B5" s="3">
        <v>45108</v>
      </c>
      <c r="C5" s="4">
        <v>1236.59095</v>
      </c>
      <c r="D5" s="4">
        <v>2.5</v>
      </c>
      <c r="E5" s="4" t="str">
        <f t="shared" si="1"/>
        <v>59572-0504-21</v>
      </c>
      <c r="F5" t="str">
        <f>INDEX(REDBOOKSearchResults!$A$1:$AK$100, MATCH($E5, INDEX(REDBOOKSearchResults!$A$1:$AK$100, 0, MATCH($E$1, REDBOOKSearchResults!$1:$1, 0)), 0), MATCH(F$1, REDBOOKSearchResults!$1:$1, 0))</f>
        <v>4 mg</v>
      </c>
      <c r="G5" t="str">
        <f>INDEX(REDBOOKSearchResults!$A$1:$AK$100, MATCH($E5, INDEX(REDBOOKSearchResults!$A$1:$AK$100, 0, MATCH($E$1, REDBOOKSearchResults!$1:$1, 0)), 0), MATCH(G$1, REDBOOKSearchResults!$1:$1, 0))</f>
        <v>21s ea</v>
      </c>
    </row>
    <row r="6" spans="1:8" x14ac:dyDescent="0.2">
      <c r="A6" t="str">
        <f t="shared" si="0"/>
        <v>POMALYST</v>
      </c>
      <c r="B6" s="3">
        <v>44927</v>
      </c>
      <c r="C6" s="4">
        <v>1206.43048</v>
      </c>
      <c r="D6" s="4">
        <v>6</v>
      </c>
      <c r="E6" s="4" t="str">
        <f t="shared" si="1"/>
        <v>59572-0504-21</v>
      </c>
      <c r="F6" t="str">
        <f>INDEX(REDBOOKSearchResults!$A$1:$AK$100, MATCH($E6, INDEX(REDBOOKSearchResults!$A$1:$AK$100, 0, MATCH($E$1, REDBOOKSearchResults!$1:$1, 0)), 0), MATCH(F$1, REDBOOKSearchResults!$1:$1, 0))</f>
        <v>4 mg</v>
      </c>
      <c r="G6" t="str">
        <f>INDEX(REDBOOKSearchResults!$A$1:$AK$100, MATCH($E6, INDEX(REDBOOKSearchResults!$A$1:$AK$100, 0, MATCH($E$1, REDBOOKSearchResults!$1:$1, 0)), 0), MATCH(G$1, REDBOOKSearchResults!$1:$1, 0))</f>
        <v>21s ea</v>
      </c>
    </row>
    <row r="7" spans="1:8" x14ac:dyDescent="0.2">
      <c r="A7" t="str">
        <f t="shared" si="0"/>
        <v>POMALYST</v>
      </c>
      <c r="B7" s="3">
        <v>44562</v>
      </c>
      <c r="C7" s="4">
        <v>1138.1419000000001</v>
      </c>
      <c r="D7" s="4">
        <v>4.5</v>
      </c>
      <c r="E7" s="4" t="str">
        <f t="shared" si="1"/>
        <v>59572-0504-21</v>
      </c>
      <c r="F7" t="str">
        <f>INDEX(REDBOOKSearchResults!$A$1:$AK$100, MATCH($E7, INDEX(REDBOOKSearchResults!$A$1:$AK$100, 0, MATCH($E$1, REDBOOKSearchResults!$1:$1, 0)), 0), MATCH(F$1, REDBOOKSearchResults!$1:$1, 0))</f>
        <v>4 mg</v>
      </c>
      <c r="G7" t="str">
        <f>INDEX(REDBOOKSearchResults!$A$1:$AK$100, MATCH($E7, INDEX(REDBOOKSearchResults!$A$1:$AK$100, 0, MATCH($E$1, REDBOOKSearchResults!$1:$1, 0)), 0), MATCH(G$1, REDBOOKSearchResults!$1:$1, 0))</f>
        <v>21s ea</v>
      </c>
    </row>
    <row r="8" spans="1:8" x14ac:dyDescent="0.2">
      <c r="A8" t="str">
        <f t="shared" si="0"/>
        <v>POMALYST</v>
      </c>
      <c r="B8" s="3">
        <v>44197</v>
      </c>
      <c r="C8" s="4">
        <v>1089.13095</v>
      </c>
      <c r="D8" s="4">
        <v>4.5</v>
      </c>
      <c r="E8" s="4" t="str">
        <f t="shared" si="1"/>
        <v>59572-0504-21</v>
      </c>
      <c r="F8" t="str">
        <f>INDEX(REDBOOKSearchResults!$A$1:$AK$100, MATCH($E8, INDEX(REDBOOKSearchResults!$A$1:$AK$100, 0, MATCH($E$1, REDBOOKSearchResults!$1:$1, 0)), 0), MATCH(F$1, REDBOOKSearchResults!$1:$1, 0))</f>
        <v>4 mg</v>
      </c>
      <c r="G8" t="str">
        <f>INDEX(REDBOOKSearchResults!$A$1:$AK$100, MATCH($E8, INDEX(REDBOOKSearchResults!$A$1:$AK$100, 0, MATCH($E$1, REDBOOKSearchResults!$1:$1, 0)), 0), MATCH(G$1, REDBOOKSearchResults!$1:$1, 0))</f>
        <v>21s ea</v>
      </c>
    </row>
    <row r="9" spans="1:8" x14ac:dyDescent="0.2">
      <c r="A9" t="str">
        <f t="shared" si="0"/>
        <v>POMALYST</v>
      </c>
      <c r="B9" s="3">
        <v>43831</v>
      </c>
      <c r="C9" s="4">
        <v>1042.2304799999999</v>
      </c>
      <c r="D9" s="4">
        <v>6</v>
      </c>
      <c r="E9" s="4" t="str">
        <f t="shared" si="1"/>
        <v>59572-0504-21</v>
      </c>
      <c r="F9" t="str">
        <f>INDEX(REDBOOKSearchResults!$A$1:$AK$100, MATCH($E9, INDEX(REDBOOKSearchResults!$A$1:$AK$100, 0, MATCH($E$1, REDBOOKSearchResults!$1:$1, 0)), 0), MATCH(F$1, REDBOOKSearchResults!$1:$1, 0))</f>
        <v>4 mg</v>
      </c>
      <c r="G9" t="str">
        <f>INDEX(REDBOOKSearchResults!$A$1:$AK$100, MATCH($E9, INDEX(REDBOOKSearchResults!$A$1:$AK$100, 0, MATCH($E$1, REDBOOKSearchResults!$1:$1, 0)), 0), MATCH(G$1, REDBOOKSearchResults!$1:$1, 0))</f>
        <v>21s ea</v>
      </c>
      <c r="H9" s="5"/>
    </row>
    <row r="10" spans="1:8" x14ac:dyDescent="0.2">
      <c r="A10" t="str">
        <f t="shared" si="0"/>
        <v>POMALYST</v>
      </c>
      <c r="B10" s="3">
        <v>43468</v>
      </c>
      <c r="C10" s="4">
        <v>983.23618999999997</v>
      </c>
      <c r="D10" s="4">
        <v>3.5</v>
      </c>
      <c r="E10" s="4" t="str">
        <f t="shared" si="1"/>
        <v>59572-0504-21</v>
      </c>
      <c r="F10" t="str">
        <f>INDEX(REDBOOKSearchResults!$A$1:$AK$100, MATCH($E10, INDEX(REDBOOKSearchResults!$A$1:$AK$100, 0, MATCH($E$1, REDBOOKSearchResults!$1:$1, 0)), 0), MATCH(F$1, REDBOOKSearchResults!$1:$1, 0))</f>
        <v>4 mg</v>
      </c>
      <c r="G10" t="str">
        <f>INDEX(REDBOOKSearchResults!$A$1:$AK$100, MATCH($E10, INDEX(REDBOOKSearchResults!$A$1:$AK$100, 0, MATCH($E$1, REDBOOKSearchResults!$1:$1, 0)), 0), MATCH(G$1, REDBOOKSearchResults!$1:$1, 0))</f>
        <v>21s ea</v>
      </c>
    </row>
    <row r="11" spans="1:8" x14ac:dyDescent="0.2">
      <c r="A11" t="str">
        <f t="shared" si="0"/>
        <v>POMALYST</v>
      </c>
      <c r="B11" s="3">
        <v>43291</v>
      </c>
      <c r="C11" s="4">
        <v>949.98618999999997</v>
      </c>
      <c r="D11" s="4">
        <v>5</v>
      </c>
      <c r="E11" s="4" t="str">
        <f t="shared" si="1"/>
        <v>59572-0504-21</v>
      </c>
      <c r="F11" t="str">
        <f>INDEX(REDBOOKSearchResults!$A$1:$AK$100, MATCH($E11, INDEX(REDBOOKSearchResults!$A$1:$AK$100, 0, MATCH($E$1, REDBOOKSearchResults!$1:$1, 0)), 0), MATCH(F$1, REDBOOKSearchResults!$1:$1, 0))</f>
        <v>4 mg</v>
      </c>
      <c r="G11" t="str">
        <f>INDEX(REDBOOKSearchResults!$A$1:$AK$100, MATCH($E11, INDEX(REDBOOKSearchResults!$A$1:$AK$100, 0, MATCH($E$1, REDBOOKSearchResults!$1:$1, 0)), 0), MATCH(G$1, REDBOOKSearchResults!$1:$1, 0))</f>
        <v>21s ea</v>
      </c>
    </row>
    <row r="12" spans="1:8" x14ac:dyDescent="0.2">
      <c r="A12" t="str">
        <f t="shared" si="0"/>
        <v>POMALYST</v>
      </c>
      <c r="B12" s="3">
        <v>43028</v>
      </c>
      <c r="C12" s="4">
        <v>904.74856999999997</v>
      </c>
      <c r="D12" s="4">
        <v>9</v>
      </c>
      <c r="E12" s="4" t="str">
        <f t="shared" si="1"/>
        <v>59572-0504-21</v>
      </c>
      <c r="F12" t="str">
        <f>INDEX(REDBOOKSearchResults!$A$1:$AK$100, MATCH($E12, INDEX(REDBOOKSearchResults!$A$1:$AK$100, 0, MATCH($E$1, REDBOOKSearchResults!$1:$1, 0)), 0), MATCH(F$1, REDBOOKSearchResults!$1:$1, 0))</f>
        <v>4 mg</v>
      </c>
      <c r="G12" t="str">
        <f>INDEX(REDBOOKSearchResults!$A$1:$AK$100, MATCH($E12, INDEX(REDBOOKSearchResults!$A$1:$AK$100, 0, MATCH($E$1, REDBOOKSearchResults!$1:$1, 0)), 0), MATCH(G$1, REDBOOKSearchResults!$1:$1, 0))</f>
        <v>21s ea</v>
      </c>
    </row>
    <row r="13" spans="1:8" x14ac:dyDescent="0.2">
      <c r="A13" t="str">
        <f t="shared" si="0"/>
        <v>POMALYST</v>
      </c>
      <c r="B13" s="3">
        <v>42830</v>
      </c>
      <c r="C13" s="4">
        <v>830.04476</v>
      </c>
      <c r="D13" s="4">
        <v>8</v>
      </c>
      <c r="E13" s="4" t="str">
        <f t="shared" si="1"/>
        <v>59572-0504-21</v>
      </c>
      <c r="F13" t="str">
        <f>INDEX(REDBOOKSearchResults!$A$1:$AK$100, MATCH($E13, INDEX(REDBOOKSearchResults!$A$1:$AK$100, 0, MATCH($E$1, REDBOOKSearchResults!$1:$1, 0)), 0), MATCH(F$1, REDBOOKSearchResults!$1:$1, 0))</f>
        <v>4 mg</v>
      </c>
      <c r="G13" t="str">
        <f>INDEX(REDBOOKSearchResults!$A$1:$AK$100, MATCH($E13, INDEX(REDBOOKSearchResults!$A$1:$AK$100, 0, MATCH($E$1, REDBOOKSearchResults!$1:$1, 0)), 0), MATCH(G$1, REDBOOKSearchResults!$1:$1, 0))</f>
        <v>21s ea</v>
      </c>
    </row>
    <row r="14" spans="1:8" x14ac:dyDescent="0.2">
      <c r="A14" t="str">
        <f t="shared" si="0"/>
        <v>POMALYST</v>
      </c>
      <c r="B14" s="3">
        <v>42602</v>
      </c>
      <c r="C14" s="4">
        <v>768.56</v>
      </c>
      <c r="D14" s="4">
        <v>3</v>
      </c>
      <c r="E14" s="4" t="str">
        <f t="shared" si="1"/>
        <v>59572-0504-21</v>
      </c>
      <c r="F14" t="str">
        <f>INDEX(REDBOOKSearchResults!$A$1:$AK$100, MATCH($E14, INDEX(REDBOOKSearchResults!$A$1:$AK$100, 0, MATCH($E$1, REDBOOKSearchResults!$1:$1, 0)), 0), MATCH(F$1, REDBOOKSearchResults!$1:$1, 0))</f>
        <v>4 mg</v>
      </c>
      <c r="G14" t="str">
        <f>INDEX(REDBOOKSearchResults!$A$1:$AK$100, MATCH($E14, INDEX(REDBOOKSearchResults!$A$1:$AK$100, 0, MATCH($E$1, REDBOOKSearchResults!$1:$1, 0)), 0), MATCH(G$1, REDBOOKSearchResults!$1:$1, 0))</f>
        <v>21s ea</v>
      </c>
    </row>
    <row r="15" spans="1:8" x14ac:dyDescent="0.2">
      <c r="A15" t="str">
        <f t="shared" si="0"/>
        <v>POMALYST</v>
      </c>
      <c r="B15" s="3">
        <v>42439</v>
      </c>
      <c r="C15" s="4">
        <v>746.17475999999999</v>
      </c>
      <c r="D15" s="4">
        <v>6.8</v>
      </c>
      <c r="E15" s="4" t="str">
        <f t="shared" si="1"/>
        <v>59572-0504-21</v>
      </c>
      <c r="F15" t="str">
        <f>INDEX(REDBOOKSearchResults!$A$1:$AK$100, MATCH($E15, INDEX(REDBOOKSearchResults!$A$1:$AK$100, 0, MATCH($E$1, REDBOOKSearchResults!$1:$1, 0)), 0), MATCH(F$1, REDBOOKSearchResults!$1:$1, 0))</f>
        <v>4 mg</v>
      </c>
      <c r="G15" t="str">
        <f>INDEX(REDBOOKSearchResults!$A$1:$AK$100, MATCH($E15, INDEX(REDBOOKSearchResults!$A$1:$AK$100, 0, MATCH($E$1, REDBOOKSearchResults!$1:$1, 0)), 0), MATCH(G$1, REDBOOKSearchResults!$1:$1, 0))</f>
        <v>21s ea</v>
      </c>
    </row>
    <row r="16" spans="1:8" x14ac:dyDescent="0.2">
      <c r="A16" t="str">
        <f t="shared" si="0"/>
        <v>POMALYST</v>
      </c>
      <c r="B16" s="3">
        <v>42279</v>
      </c>
      <c r="C16" s="4">
        <v>698.66570999999999</v>
      </c>
      <c r="D16" s="4">
        <v>4</v>
      </c>
      <c r="E16" s="4" t="str">
        <f t="shared" si="1"/>
        <v>59572-0504-21</v>
      </c>
      <c r="F16" t="str">
        <f>INDEX(REDBOOKSearchResults!$A$1:$AK$100, MATCH($E16, INDEX(REDBOOKSearchResults!$A$1:$AK$100, 0, MATCH($E$1, REDBOOKSearchResults!$1:$1, 0)), 0), MATCH(F$1, REDBOOKSearchResults!$1:$1, 0))</f>
        <v>4 mg</v>
      </c>
      <c r="G16" t="str">
        <f>INDEX(REDBOOKSearchResults!$A$1:$AK$100, MATCH($E16, INDEX(REDBOOKSearchResults!$A$1:$AK$100, 0, MATCH($E$1, REDBOOKSearchResults!$1:$1, 0)), 0), MATCH(G$1, REDBOOKSearchResults!$1:$1, 0))</f>
        <v>21s ea</v>
      </c>
    </row>
    <row r="17" spans="1:7" x14ac:dyDescent="0.2">
      <c r="A17" t="str">
        <f t="shared" si="0"/>
        <v>POMALYST</v>
      </c>
      <c r="B17" s="3">
        <v>42180</v>
      </c>
      <c r="C17" s="4">
        <v>671.79381000000001</v>
      </c>
      <c r="D17" s="4">
        <v>3</v>
      </c>
      <c r="E17" s="4" t="str">
        <f t="shared" si="1"/>
        <v>59572-0504-21</v>
      </c>
      <c r="F17" t="str">
        <f>INDEX(REDBOOKSearchResults!$A$1:$AK$100, MATCH($E17, INDEX(REDBOOKSearchResults!$A$1:$AK$100, 0, MATCH($E$1, REDBOOKSearchResults!$1:$1, 0)), 0), MATCH(F$1, REDBOOKSearchResults!$1:$1, 0))</f>
        <v>4 mg</v>
      </c>
      <c r="G17" t="str">
        <f>INDEX(REDBOOKSearchResults!$A$1:$AK$100, MATCH($E17, INDEX(REDBOOKSearchResults!$A$1:$AK$100, 0, MATCH($E$1, REDBOOKSearchResults!$1:$1, 0)), 0), MATCH(G$1, REDBOOKSearchResults!$1:$1, 0))</f>
        <v>21s ea</v>
      </c>
    </row>
    <row r="18" spans="1:7" x14ac:dyDescent="0.2">
      <c r="A18" t="str">
        <f t="shared" si="0"/>
        <v>POMALYST</v>
      </c>
      <c r="B18" s="3">
        <v>41996</v>
      </c>
      <c r="C18" s="4">
        <v>652.22667000000001</v>
      </c>
      <c r="D18" s="4">
        <v>3</v>
      </c>
      <c r="E18" s="4" t="str">
        <f t="shared" si="1"/>
        <v>59572-0504-21</v>
      </c>
      <c r="F18" t="str">
        <f>INDEX(REDBOOKSearchResults!$A$1:$AK$100, MATCH($E18, INDEX(REDBOOKSearchResults!$A$1:$AK$100, 0, MATCH($E$1, REDBOOKSearchResults!$1:$1, 0)), 0), MATCH(F$1, REDBOOKSearchResults!$1:$1, 0))</f>
        <v>4 mg</v>
      </c>
      <c r="G18" t="str">
        <f>INDEX(REDBOOKSearchResults!$A$1:$AK$100, MATCH($E18, INDEX(REDBOOKSearchResults!$A$1:$AK$100, 0, MATCH($E$1, REDBOOKSearchResults!$1:$1, 0)), 0), MATCH(G$1, REDBOOKSearchResults!$1:$1, 0))</f>
        <v>21s ea</v>
      </c>
    </row>
    <row r="19" spans="1:7" x14ac:dyDescent="0.2">
      <c r="A19" t="str">
        <f t="shared" si="0"/>
        <v>POMALYST</v>
      </c>
      <c r="B19" s="3">
        <v>41830</v>
      </c>
      <c r="C19" s="4">
        <v>633.22951999999998</v>
      </c>
      <c r="D19" s="4">
        <v>3</v>
      </c>
      <c r="E19" s="4" t="str">
        <f t="shared" si="1"/>
        <v>59572-0504-21</v>
      </c>
      <c r="F19" t="str">
        <f>INDEX(REDBOOKSearchResults!$A$1:$AK$100, MATCH($E19, INDEX(REDBOOKSearchResults!$A$1:$AK$100, 0, MATCH($E$1, REDBOOKSearchResults!$1:$1, 0)), 0), MATCH(F$1, REDBOOKSearchResults!$1:$1, 0))</f>
        <v>4 mg</v>
      </c>
      <c r="G19" t="str">
        <f>INDEX(REDBOOKSearchResults!$A$1:$AK$100, MATCH($E19, INDEX(REDBOOKSearchResults!$A$1:$AK$100, 0, MATCH($E$1, REDBOOKSearchResults!$1:$1, 0)), 0), MATCH(G$1, REDBOOKSearchResults!$1:$1, 0))</f>
        <v>21s ea</v>
      </c>
    </row>
    <row r="20" spans="1:7" x14ac:dyDescent="0.2">
      <c r="A20" t="str">
        <f t="shared" si="0"/>
        <v>POMALYST</v>
      </c>
      <c r="B20" s="3">
        <v>41650</v>
      </c>
      <c r="C20" s="4">
        <v>614.78619000000003</v>
      </c>
      <c r="D20" s="4">
        <v>3</v>
      </c>
      <c r="E20" s="4" t="str">
        <f t="shared" si="1"/>
        <v>59572-0504-21</v>
      </c>
      <c r="F20" t="str">
        <f>INDEX(REDBOOKSearchResults!$A$1:$AK$100, MATCH($E20, INDEX(REDBOOKSearchResults!$A$1:$AK$100, 0, MATCH($E$1, REDBOOKSearchResults!$1:$1, 0)), 0), MATCH(F$1, REDBOOKSearchResults!$1:$1, 0))</f>
        <v>4 mg</v>
      </c>
      <c r="G20" t="str">
        <f>INDEX(REDBOOKSearchResults!$A$1:$AK$100, MATCH($E20, INDEX(REDBOOKSearchResults!$A$1:$AK$100, 0, MATCH($E$1, REDBOOKSearchResults!$1:$1, 0)), 0), MATCH(G$1, REDBOOKSearchResults!$1:$1, 0))</f>
        <v>21s ea</v>
      </c>
    </row>
    <row r="21" spans="1:7" x14ac:dyDescent="0.2">
      <c r="A21" t="str">
        <f t="shared" si="0"/>
        <v>POMALYST</v>
      </c>
      <c r="B21" s="3">
        <v>41316</v>
      </c>
      <c r="C21" s="4">
        <v>596.88</v>
      </c>
      <c r="D21" s="4">
        <v>0</v>
      </c>
      <c r="E21" s="4" t="str">
        <f t="shared" si="1"/>
        <v>59572-0504-21</v>
      </c>
      <c r="F21" t="str">
        <f>INDEX(REDBOOKSearchResults!$A$1:$AK$100, MATCH($E21, INDEX(REDBOOKSearchResults!$A$1:$AK$100, 0, MATCH($E$1, REDBOOKSearchResults!$1:$1, 0)), 0), MATCH(F$1, REDBOOKSearchResults!$1:$1, 0))</f>
        <v>4 mg</v>
      </c>
      <c r="G21" t="str">
        <f>INDEX(REDBOOKSearchResults!$A$1:$AK$100, MATCH($E21, INDEX(REDBOOKSearchResults!$A$1:$AK$100, 0, MATCH($E$1, REDBOOKSearchResults!$1:$1, 0)), 0), MATCH(G$1, REDBOOKSearchResults!$1:$1, 0))</f>
        <v>21s ea</v>
      </c>
    </row>
    <row r="22" spans="1:7" x14ac:dyDescent="0.2">
      <c r="A22" t="str">
        <f t="shared" si="0"/>
        <v>POMALYST</v>
      </c>
      <c r="B22" s="3">
        <v>46023</v>
      </c>
      <c r="C22" s="4">
        <v>1431.4110000000001</v>
      </c>
      <c r="D22" s="4">
        <v>4.5</v>
      </c>
      <c r="E22" s="1" t="s">
        <v>53</v>
      </c>
      <c r="F22" t="str">
        <f>INDEX(REDBOOKSearchResults!$A$1:$AK$100, MATCH($E22, INDEX(REDBOOKSearchResults!$A$1:$AK$100, 0, MATCH($E$1, REDBOOKSearchResults!$1:$1, 0)), 0), MATCH(F$1, REDBOOKSearchResults!$1:$1, 0))</f>
        <v>4 mg</v>
      </c>
      <c r="G22" t="str">
        <f>INDEX(REDBOOKSearchResults!$A$1:$AK$100, MATCH($E22, INDEX(REDBOOKSearchResults!$A$1:$AK$100, 0, MATCH($E$1, REDBOOKSearchResults!$1:$1, 0)), 0), MATCH(G$1, REDBOOKSearchResults!$1:$1, 0))</f>
        <v>100s ea</v>
      </c>
    </row>
    <row r="23" spans="1:7" x14ac:dyDescent="0.2">
      <c r="A23" t="str">
        <f t="shared" si="0"/>
        <v>POMALYST</v>
      </c>
      <c r="B23" s="3">
        <v>45658</v>
      </c>
      <c r="C23" s="4">
        <v>1369.7713000000001</v>
      </c>
      <c r="D23" s="4">
        <v>4.5</v>
      </c>
      <c r="E23" s="1" t="str">
        <f>E$22</f>
        <v>59572-0504-00</v>
      </c>
      <c r="F23" t="str">
        <f>INDEX(REDBOOKSearchResults!$A$1:$AK$100, MATCH($E23, INDEX(REDBOOKSearchResults!$A$1:$AK$100, 0, MATCH($E$1, REDBOOKSearchResults!$1:$1, 0)), 0), MATCH(F$1, REDBOOKSearchResults!$1:$1, 0))</f>
        <v>4 mg</v>
      </c>
      <c r="G23" t="str">
        <f>INDEX(REDBOOKSearchResults!$A$1:$AK$100, MATCH($E23, INDEX(REDBOOKSearchResults!$A$1:$AK$100, 0, MATCH($E$1, REDBOOKSearchResults!$1:$1, 0)), 0), MATCH(G$1, REDBOOKSearchResults!$1:$1, 0))</f>
        <v>100s ea</v>
      </c>
    </row>
    <row r="24" spans="1:7" x14ac:dyDescent="0.2">
      <c r="A24" t="str">
        <f t="shared" si="0"/>
        <v>POMALYST</v>
      </c>
      <c r="B24" s="3">
        <v>45292</v>
      </c>
      <c r="C24" s="4">
        <v>1310.7859000000001</v>
      </c>
      <c r="D24" s="4">
        <v>6</v>
      </c>
      <c r="E24" s="1" t="str">
        <f t="shared" ref="E24:E41" si="2">E$22</f>
        <v>59572-0504-00</v>
      </c>
      <c r="F24" t="str">
        <f>INDEX(REDBOOKSearchResults!$A$1:$AK$100, MATCH($E24, INDEX(REDBOOKSearchResults!$A$1:$AK$100, 0, MATCH($E$1, REDBOOKSearchResults!$1:$1, 0)), 0), MATCH(F$1, REDBOOKSearchResults!$1:$1, 0))</f>
        <v>4 mg</v>
      </c>
      <c r="G24" t="str">
        <f>INDEX(REDBOOKSearchResults!$A$1:$AK$100, MATCH($E24, INDEX(REDBOOKSearchResults!$A$1:$AK$100, 0, MATCH($E$1, REDBOOKSearchResults!$1:$1, 0)), 0), MATCH(G$1, REDBOOKSearchResults!$1:$1, 0))</f>
        <v>100s ea</v>
      </c>
    </row>
    <row r="25" spans="1:7" x14ac:dyDescent="0.2">
      <c r="A25" t="str">
        <f t="shared" si="0"/>
        <v>POMALYST</v>
      </c>
      <c r="B25" s="3">
        <v>45108</v>
      </c>
      <c r="C25" s="4">
        <v>1236.5905</v>
      </c>
      <c r="D25" s="4">
        <v>2.5</v>
      </c>
      <c r="E25" s="1" t="str">
        <f t="shared" si="2"/>
        <v>59572-0504-00</v>
      </c>
      <c r="F25" t="str">
        <f>INDEX(REDBOOKSearchResults!$A$1:$AK$100, MATCH($E25, INDEX(REDBOOKSearchResults!$A$1:$AK$100, 0, MATCH($E$1, REDBOOKSearchResults!$1:$1, 0)), 0), MATCH(F$1, REDBOOKSearchResults!$1:$1, 0))</f>
        <v>4 mg</v>
      </c>
      <c r="G25" t="str">
        <f>INDEX(REDBOOKSearchResults!$A$1:$AK$100, MATCH($E25, INDEX(REDBOOKSearchResults!$A$1:$AK$100, 0, MATCH($E$1, REDBOOKSearchResults!$1:$1, 0)), 0), MATCH(G$1, REDBOOKSearchResults!$1:$1, 0))</f>
        <v>100s ea</v>
      </c>
    </row>
    <row r="26" spans="1:7" x14ac:dyDescent="0.2">
      <c r="A26" t="str">
        <f t="shared" si="0"/>
        <v>POMALYST</v>
      </c>
      <c r="B26" s="3">
        <v>44927</v>
      </c>
      <c r="C26" s="4">
        <v>1206.4297999999999</v>
      </c>
      <c r="D26" s="4">
        <v>6</v>
      </c>
      <c r="E26" s="1" t="str">
        <f t="shared" si="2"/>
        <v>59572-0504-00</v>
      </c>
      <c r="F26" t="str">
        <f>INDEX(REDBOOKSearchResults!$A$1:$AK$100, MATCH($E26, INDEX(REDBOOKSearchResults!$A$1:$AK$100, 0, MATCH($E$1, REDBOOKSearchResults!$1:$1, 0)), 0), MATCH(F$1, REDBOOKSearchResults!$1:$1, 0))</f>
        <v>4 mg</v>
      </c>
      <c r="G26" t="str">
        <f>INDEX(REDBOOKSearchResults!$A$1:$AK$100, MATCH($E26, INDEX(REDBOOKSearchResults!$A$1:$AK$100, 0, MATCH($E$1, REDBOOKSearchResults!$1:$1, 0)), 0), MATCH(G$1, REDBOOKSearchResults!$1:$1, 0))</f>
        <v>100s ea</v>
      </c>
    </row>
    <row r="27" spans="1:7" x14ac:dyDescent="0.2">
      <c r="A27" t="str">
        <f t="shared" si="0"/>
        <v>POMALYST</v>
      </c>
      <c r="B27" s="3">
        <v>44562</v>
      </c>
      <c r="C27" s="4">
        <v>1138.1412</v>
      </c>
      <c r="D27" s="4">
        <v>4.5</v>
      </c>
      <c r="E27" s="1" t="str">
        <f t="shared" si="2"/>
        <v>59572-0504-00</v>
      </c>
      <c r="F27" t="str">
        <f>INDEX(REDBOOKSearchResults!$A$1:$AK$100, MATCH($E27, INDEX(REDBOOKSearchResults!$A$1:$AK$100, 0, MATCH($E$1, REDBOOKSearchResults!$1:$1, 0)), 0), MATCH(F$1, REDBOOKSearchResults!$1:$1, 0))</f>
        <v>4 mg</v>
      </c>
      <c r="G27" t="str">
        <f>INDEX(REDBOOKSearchResults!$A$1:$AK$100, MATCH($E27, INDEX(REDBOOKSearchResults!$A$1:$AK$100, 0, MATCH($E$1, REDBOOKSearchResults!$1:$1, 0)), 0), MATCH(G$1, REDBOOKSearchResults!$1:$1, 0))</f>
        <v>100s ea</v>
      </c>
    </row>
    <row r="28" spans="1:7" x14ac:dyDescent="0.2">
      <c r="A28" t="str">
        <f t="shared" si="0"/>
        <v>POMALYST</v>
      </c>
      <c r="B28" s="3">
        <v>44197</v>
      </c>
      <c r="C28" s="4">
        <v>1089.1303</v>
      </c>
      <c r="D28" s="4">
        <v>4.5</v>
      </c>
      <c r="E28" s="1" t="str">
        <f t="shared" si="2"/>
        <v>59572-0504-00</v>
      </c>
      <c r="F28" t="str">
        <f>INDEX(REDBOOKSearchResults!$A$1:$AK$100, MATCH($E28, INDEX(REDBOOKSearchResults!$A$1:$AK$100, 0, MATCH($E$1, REDBOOKSearchResults!$1:$1, 0)), 0), MATCH(F$1, REDBOOKSearchResults!$1:$1, 0))</f>
        <v>4 mg</v>
      </c>
      <c r="G28" t="str">
        <f>INDEX(REDBOOKSearchResults!$A$1:$AK$100, MATCH($E28, INDEX(REDBOOKSearchResults!$A$1:$AK$100, 0, MATCH($E$1, REDBOOKSearchResults!$1:$1, 0)), 0), MATCH(G$1, REDBOOKSearchResults!$1:$1, 0))</f>
        <v>100s ea</v>
      </c>
    </row>
    <row r="29" spans="1:7" x14ac:dyDescent="0.2">
      <c r="A29" t="str">
        <f t="shared" si="0"/>
        <v>POMALYST</v>
      </c>
      <c r="B29" s="3">
        <v>43831</v>
      </c>
      <c r="C29" s="4">
        <v>1042.23</v>
      </c>
      <c r="D29" s="4">
        <v>6</v>
      </c>
      <c r="E29" s="1" t="str">
        <f t="shared" si="2"/>
        <v>59572-0504-00</v>
      </c>
      <c r="F29" t="str">
        <f>INDEX(REDBOOKSearchResults!$A$1:$AK$100, MATCH($E29, INDEX(REDBOOKSearchResults!$A$1:$AK$100, 0, MATCH($E$1, REDBOOKSearchResults!$1:$1, 0)), 0), MATCH(F$1, REDBOOKSearchResults!$1:$1, 0))</f>
        <v>4 mg</v>
      </c>
      <c r="G29" t="str">
        <f>INDEX(REDBOOKSearchResults!$A$1:$AK$100, MATCH($E29, INDEX(REDBOOKSearchResults!$A$1:$AK$100, 0, MATCH($E$1, REDBOOKSearchResults!$1:$1, 0)), 0), MATCH(G$1, REDBOOKSearchResults!$1:$1, 0))</f>
        <v>100s ea</v>
      </c>
    </row>
    <row r="30" spans="1:7" x14ac:dyDescent="0.2">
      <c r="A30" t="str">
        <f t="shared" si="0"/>
        <v>POMALYST</v>
      </c>
      <c r="B30" s="3">
        <v>43468</v>
      </c>
      <c r="C30" s="4">
        <v>983.23590000000002</v>
      </c>
      <c r="D30" s="4">
        <v>3.5</v>
      </c>
      <c r="E30" s="1" t="str">
        <f t="shared" si="2"/>
        <v>59572-0504-00</v>
      </c>
      <c r="F30" t="str">
        <f>INDEX(REDBOOKSearchResults!$A$1:$AK$100, MATCH($E30, INDEX(REDBOOKSearchResults!$A$1:$AK$100, 0, MATCH($E$1, REDBOOKSearchResults!$1:$1, 0)), 0), MATCH(F$1, REDBOOKSearchResults!$1:$1, 0))</f>
        <v>4 mg</v>
      </c>
      <c r="G30" t="str">
        <f>INDEX(REDBOOKSearchResults!$A$1:$AK$100, MATCH($E30, INDEX(REDBOOKSearchResults!$A$1:$AK$100, 0, MATCH($E$1, REDBOOKSearchResults!$1:$1, 0)), 0), MATCH(G$1, REDBOOKSearchResults!$1:$1, 0))</f>
        <v>100s ea</v>
      </c>
    </row>
    <row r="31" spans="1:7" x14ac:dyDescent="0.2">
      <c r="A31" t="str">
        <f t="shared" si="0"/>
        <v>POMALYST</v>
      </c>
      <c r="B31" s="3">
        <v>43291</v>
      </c>
      <c r="C31" s="4">
        <v>949.9864</v>
      </c>
      <c r="D31" s="4">
        <v>5</v>
      </c>
      <c r="E31" s="1" t="str">
        <f t="shared" si="2"/>
        <v>59572-0504-00</v>
      </c>
      <c r="F31" t="str">
        <f>INDEX(REDBOOKSearchResults!$A$1:$AK$100, MATCH($E31, INDEX(REDBOOKSearchResults!$A$1:$AK$100, 0, MATCH($E$1, REDBOOKSearchResults!$1:$1, 0)), 0), MATCH(F$1, REDBOOKSearchResults!$1:$1, 0))</f>
        <v>4 mg</v>
      </c>
      <c r="G31" t="str">
        <f>INDEX(REDBOOKSearchResults!$A$1:$AK$100, MATCH($E31, INDEX(REDBOOKSearchResults!$A$1:$AK$100, 0, MATCH($E$1, REDBOOKSearchResults!$1:$1, 0)), 0), MATCH(G$1, REDBOOKSearchResults!$1:$1, 0))</f>
        <v>100s ea</v>
      </c>
    </row>
    <row r="32" spans="1:7" x14ac:dyDescent="0.2">
      <c r="A32" t="str">
        <f t="shared" si="0"/>
        <v>POMALYST</v>
      </c>
      <c r="B32" s="3">
        <v>43028</v>
      </c>
      <c r="C32" s="4">
        <v>904.74890000000005</v>
      </c>
      <c r="D32" s="4">
        <v>9</v>
      </c>
      <c r="E32" s="1" t="str">
        <f t="shared" si="2"/>
        <v>59572-0504-00</v>
      </c>
      <c r="F32" t="str">
        <f>INDEX(REDBOOKSearchResults!$A$1:$AK$100, MATCH($E32, INDEX(REDBOOKSearchResults!$A$1:$AK$100, 0, MATCH($E$1, REDBOOKSearchResults!$1:$1, 0)), 0), MATCH(F$1, REDBOOKSearchResults!$1:$1, 0))</f>
        <v>4 mg</v>
      </c>
      <c r="G32" t="str">
        <f>INDEX(REDBOOKSearchResults!$A$1:$AK$100, MATCH($E32, INDEX(REDBOOKSearchResults!$A$1:$AK$100, 0, MATCH($E$1, REDBOOKSearchResults!$1:$1, 0)), 0), MATCH(G$1, REDBOOKSearchResults!$1:$1, 0))</f>
        <v>100s ea</v>
      </c>
    </row>
    <row r="33" spans="1:7" x14ac:dyDescent="0.2">
      <c r="A33" t="str">
        <f t="shared" si="0"/>
        <v>POMALYST</v>
      </c>
      <c r="B33" s="3">
        <v>42830</v>
      </c>
      <c r="C33" s="4">
        <v>830.04480000000001</v>
      </c>
      <c r="D33" s="4">
        <v>8</v>
      </c>
      <c r="E33" s="1" t="str">
        <f t="shared" si="2"/>
        <v>59572-0504-00</v>
      </c>
      <c r="F33" t="str">
        <f>INDEX(REDBOOKSearchResults!$A$1:$AK$100, MATCH($E33, INDEX(REDBOOKSearchResults!$A$1:$AK$100, 0, MATCH($E$1, REDBOOKSearchResults!$1:$1, 0)), 0), MATCH(F$1, REDBOOKSearchResults!$1:$1, 0))</f>
        <v>4 mg</v>
      </c>
      <c r="G33" t="str">
        <f>INDEX(REDBOOKSearchResults!$A$1:$AK$100, MATCH($E33, INDEX(REDBOOKSearchResults!$A$1:$AK$100, 0, MATCH($E$1, REDBOOKSearchResults!$1:$1, 0)), 0), MATCH(G$1, REDBOOKSearchResults!$1:$1, 0))</f>
        <v>100s ea</v>
      </c>
    </row>
    <row r="34" spans="1:7" x14ac:dyDescent="0.2">
      <c r="A34" t="str">
        <f t="shared" si="0"/>
        <v>POMALYST</v>
      </c>
      <c r="B34" s="3">
        <v>42602</v>
      </c>
      <c r="C34" s="4">
        <v>768.56010000000003</v>
      </c>
      <c r="D34" s="4">
        <v>3</v>
      </c>
      <c r="E34" s="1" t="str">
        <f t="shared" si="2"/>
        <v>59572-0504-00</v>
      </c>
      <c r="F34" t="str">
        <f>INDEX(REDBOOKSearchResults!$A$1:$AK$100, MATCH($E34, INDEX(REDBOOKSearchResults!$A$1:$AK$100, 0, MATCH($E$1, REDBOOKSearchResults!$1:$1, 0)), 0), MATCH(F$1, REDBOOKSearchResults!$1:$1, 0))</f>
        <v>4 mg</v>
      </c>
      <c r="G34" t="str">
        <f>INDEX(REDBOOKSearchResults!$A$1:$AK$100, MATCH($E34, INDEX(REDBOOKSearchResults!$A$1:$AK$100, 0, MATCH($E$1, REDBOOKSearchResults!$1:$1, 0)), 0), MATCH(G$1, REDBOOKSearchResults!$1:$1, 0))</f>
        <v>100s ea</v>
      </c>
    </row>
    <row r="35" spans="1:7" x14ac:dyDescent="0.2">
      <c r="A35" t="str">
        <f t="shared" si="0"/>
        <v>POMALYST</v>
      </c>
      <c r="B35" s="3">
        <v>42439</v>
      </c>
      <c r="C35" s="4">
        <v>746.1748</v>
      </c>
      <c r="D35" s="4">
        <v>6.8</v>
      </c>
      <c r="E35" s="1" t="str">
        <f t="shared" si="2"/>
        <v>59572-0504-00</v>
      </c>
      <c r="F35" t="str">
        <f>INDEX(REDBOOKSearchResults!$A$1:$AK$100, MATCH($E35, INDEX(REDBOOKSearchResults!$A$1:$AK$100, 0, MATCH($E$1, REDBOOKSearchResults!$1:$1, 0)), 0), MATCH(F$1, REDBOOKSearchResults!$1:$1, 0))</f>
        <v>4 mg</v>
      </c>
      <c r="G35" t="str">
        <f>INDEX(REDBOOKSearchResults!$A$1:$AK$100, MATCH($E35, INDEX(REDBOOKSearchResults!$A$1:$AK$100, 0, MATCH($E$1, REDBOOKSearchResults!$1:$1, 0)), 0), MATCH(G$1, REDBOOKSearchResults!$1:$1, 0))</f>
        <v>100s ea</v>
      </c>
    </row>
    <row r="36" spans="1:7" x14ac:dyDescent="0.2">
      <c r="A36" t="str">
        <f t="shared" si="0"/>
        <v>POMALYST</v>
      </c>
      <c r="B36" s="3">
        <v>42279</v>
      </c>
      <c r="C36" s="4">
        <v>698.66549999999995</v>
      </c>
      <c r="D36" s="4">
        <v>4</v>
      </c>
      <c r="E36" s="1" t="str">
        <f t="shared" si="2"/>
        <v>59572-0504-00</v>
      </c>
      <c r="F36" t="str">
        <f>INDEX(REDBOOKSearchResults!$A$1:$AK$100, MATCH($E36, INDEX(REDBOOKSearchResults!$A$1:$AK$100, 0, MATCH($E$1, REDBOOKSearchResults!$1:$1, 0)), 0), MATCH(F$1, REDBOOKSearchResults!$1:$1, 0))</f>
        <v>4 mg</v>
      </c>
      <c r="G36" t="str">
        <f>INDEX(REDBOOKSearchResults!$A$1:$AK$100, MATCH($E36, INDEX(REDBOOKSearchResults!$A$1:$AK$100, 0, MATCH($E$1, REDBOOKSearchResults!$1:$1, 0)), 0), MATCH(G$1, REDBOOKSearchResults!$1:$1, 0))</f>
        <v>100s ea</v>
      </c>
    </row>
    <row r="37" spans="1:7" x14ac:dyDescent="0.2">
      <c r="A37" t="str">
        <f t="shared" si="0"/>
        <v>POMALYST</v>
      </c>
      <c r="B37" s="3">
        <v>42180</v>
      </c>
      <c r="C37" s="4">
        <v>671.79380000000003</v>
      </c>
      <c r="D37" s="4">
        <v>3</v>
      </c>
      <c r="E37" s="1" t="str">
        <f t="shared" si="2"/>
        <v>59572-0504-00</v>
      </c>
      <c r="F37" t="str">
        <f>INDEX(REDBOOKSearchResults!$A$1:$AK$100, MATCH($E37, INDEX(REDBOOKSearchResults!$A$1:$AK$100, 0, MATCH($E$1, REDBOOKSearchResults!$1:$1, 0)), 0), MATCH(F$1, REDBOOKSearchResults!$1:$1, 0))</f>
        <v>4 mg</v>
      </c>
      <c r="G37" t="str">
        <f>INDEX(REDBOOKSearchResults!$A$1:$AK$100, MATCH($E37, INDEX(REDBOOKSearchResults!$A$1:$AK$100, 0, MATCH($E$1, REDBOOKSearchResults!$1:$1, 0)), 0), MATCH(G$1, REDBOOKSearchResults!$1:$1, 0))</f>
        <v>100s ea</v>
      </c>
    </row>
    <row r="38" spans="1:7" x14ac:dyDescent="0.2">
      <c r="A38" t="str">
        <f t="shared" si="0"/>
        <v>POMALYST</v>
      </c>
      <c r="B38" s="3">
        <v>41996</v>
      </c>
      <c r="C38" s="4">
        <v>652.22699999999998</v>
      </c>
      <c r="D38" s="4">
        <v>3</v>
      </c>
      <c r="E38" s="1" t="str">
        <f t="shared" si="2"/>
        <v>59572-0504-00</v>
      </c>
      <c r="F38" t="str">
        <f>INDEX(REDBOOKSearchResults!$A$1:$AK$100, MATCH($E38, INDEX(REDBOOKSearchResults!$A$1:$AK$100, 0, MATCH($E$1, REDBOOKSearchResults!$1:$1, 0)), 0), MATCH(F$1, REDBOOKSearchResults!$1:$1, 0))</f>
        <v>4 mg</v>
      </c>
      <c r="G38" t="str">
        <f>INDEX(REDBOOKSearchResults!$A$1:$AK$100, MATCH($E38, INDEX(REDBOOKSearchResults!$A$1:$AK$100, 0, MATCH($E$1, REDBOOKSearchResults!$1:$1, 0)), 0), MATCH(G$1, REDBOOKSearchResults!$1:$1, 0))</f>
        <v>100s ea</v>
      </c>
    </row>
    <row r="39" spans="1:7" x14ac:dyDescent="0.2">
      <c r="A39" t="str">
        <f t="shared" si="0"/>
        <v>POMALYST</v>
      </c>
      <c r="B39" s="3">
        <v>41830</v>
      </c>
      <c r="C39" s="4">
        <v>633.23009999999999</v>
      </c>
      <c r="D39" s="4">
        <v>3</v>
      </c>
      <c r="E39" s="1" t="str">
        <f t="shared" si="2"/>
        <v>59572-0504-00</v>
      </c>
      <c r="F39" t="str">
        <f>INDEX(REDBOOKSearchResults!$A$1:$AK$100, MATCH($E39, INDEX(REDBOOKSearchResults!$A$1:$AK$100, 0, MATCH($E$1, REDBOOKSearchResults!$1:$1, 0)), 0), MATCH(F$1, REDBOOKSearchResults!$1:$1, 0))</f>
        <v>4 mg</v>
      </c>
      <c r="G39" t="str">
        <f>INDEX(REDBOOKSearchResults!$A$1:$AK$100, MATCH($E39, INDEX(REDBOOKSearchResults!$A$1:$AK$100, 0, MATCH($E$1, REDBOOKSearchResults!$1:$1, 0)), 0), MATCH(G$1, REDBOOKSearchResults!$1:$1, 0))</f>
        <v>100s ea</v>
      </c>
    </row>
    <row r="40" spans="1:7" x14ac:dyDescent="0.2">
      <c r="A40" t="str">
        <f t="shared" si="0"/>
        <v>POMALYST</v>
      </c>
      <c r="B40" s="3">
        <v>41650</v>
      </c>
      <c r="C40" s="4">
        <v>614.78639999999996</v>
      </c>
      <c r="D40" s="4">
        <v>3</v>
      </c>
      <c r="E40" s="1" t="str">
        <f t="shared" si="2"/>
        <v>59572-0504-00</v>
      </c>
      <c r="F40" t="str">
        <f>INDEX(REDBOOKSearchResults!$A$1:$AK$100, MATCH($E40, INDEX(REDBOOKSearchResults!$A$1:$AK$100, 0, MATCH($E$1, REDBOOKSearchResults!$1:$1, 0)), 0), MATCH(F$1, REDBOOKSearchResults!$1:$1, 0))</f>
        <v>4 mg</v>
      </c>
      <c r="G40" t="str">
        <f>INDEX(REDBOOKSearchResults!$A$1:$AK$100, MATCH($E40, INDEX(REDBOOKSearchResults!$A$1:$AK$100, 0, MATCH($E$1, REDBOOKSearchResults!$1:$1, 0)), 0), MATCH(G$1, REDBOOKSearchResults!$1:$1, 0))</f>
        <v>100s ea</v>
      </c>
    </row>
    <row r="41" spans="1:7" x14ac:dyDescent="0.2">
      <c r="A41" t="str">
        <f t="shared" si="0"/>
        <v>POMALYST</v>
      </c>
      <c r="B41" s="3">
        <v>41316</v>
      </c>
      <c r="C41" s="4">
        <v>596.88</v>
      </c>
      <c r="D41" s="4">
        <v>0</v>
      </c>
      <c r="E41" s="1" t="str">
        <f t="shared" si="2"/>
        <v>59572-0504-00</v>
      </c>
      <c r="F41" t="str">
        <f>INDEX(REDBOOKSearchResults!$A$1:$AK$100, MATCH($E41, INDEX(REDBOOKSearchResults!$A$1:$AK$100, 0, MATCH($E$1, REDBOOKSearchResults!$1:$1, 0)), 0), MATCH(F$1, REDBOOKSearchResults!$1:$1, 0))</f>
        <v>4 mg</v>
      </c>
      <c r="G41" t="str">
        <f>INDEX(REDBOOKSearchResults!$A$1:$AK$100, MATCH($E41, INDEX(REDBOOKSearchResults!$A$1:$AK$100, 0, MATCH($E$1, REDBOOKSearchResults!$1:$1, 0)), 0), MATCH(G$1, REDBOOKSearchResults!$1:$1, 0))</f>
        <v>100s ea</v>
      </c>
    </row>
    <row r="42" spans="1:7" x14ac:dyDescent="0.2">
      <c r="A42" t="str">
        <f t="shared" si="0"/>
        <v>POMALYST</v>
      </c>
      <c r="B42" s="3">
        <v>46023</v>
      </c>
      <c r="C42" s="4">
        <v>1431.4114300000001</v>
      </c>
      <c r="D42" s="4">
        <v>4.5</v>
      </c>
      <c r="E42" s="1" t="s">
        <v>58</v>
      </c>
      <c r="F42" t="str">
        <f>INDEX(REDBOOKSearchResults!$A$1:$AK$100, MATCH($E42, INDEX(REDBOOKSearchResults!$A$1:$AK$100, 0, MATCH($E$1, REDBOOKSearchResults!$1:$1, 0)), 0), MATCH(F$1, REDBOOKSearchResults!$1:$1, 0))</f>
        <v>3 mg</v>
      </c>
      <c r="G42" t="str">
        <f>INDEX(REDBOOKSearchResults!$A$1:$AK$100, MATCH($E42, INDEX(REDBOOKSearchResults!$A$1:$AK$100, 0, MATCH($E$1, REDBOOKSearchResults!$1:$1, 0)), 0), MATCH(G$1, REDBOOKSearchResults!$1:$1, 0))</f>
        <v>21s ea</v>
      </c>
    </row>
    <row r="43" spans="1:7" x14ac:dyDescent="0.2">
      <c r="A43" t="str">
        <f t="shared" si="0"/>
        <v>POMALYST</v>
      </c>
      <c r="B43" s="3">
        <v>45658</v>
      </c>
      <c r="C43" s="4">
        <v>1369.77143</v>
      </c>
      <c r="D43" s="4">
        <v>4.5</v>
      </c>
      <c r="E43" s="1" t="str">
        <f>E$42</f>
        <v>59572-0503-21</v>
      </c>
      <c r="F43" t="str">
        <f>INDEX(REDBOOKSearchResults!$A$1:$AK$100, MATCH($E43, INDEX(REDBOOKSearchResults!$A$1:$AK$100, 0, MATCH($E$1, REDBOOKSearchResults!$1:$1, 0)), 0), MATCH(F$1, REDBOOKSearchResults!$1:$1, 0))</f>
        <v>3 mg</v>
      </c>
      <c r="G43" t="str">
        <f>INDEX(REDBOOKSearchResults!$A$1:$AK$100, MATCH($E43, INDEX(REDBOOKSearchResults!$A$1:$AK$100, 0, MATCH($E$1, REDBOOKSearchResults!$1:$1, 0)), 0), MATCH(G$1, REDBOOKSearchResults!$1:$1, 0))</f>
        <v>21s ea</v>
      </c>
    </row>
    <row r="44" spans="1:7" x14ac:dyDescent="0.2">
      <c r="A44" t="str">
        <f t="shared" si="0"/>
        <v>POMALYST</v>
      </c>
      <c r="B44" s="3">
        <v>45292</v>
      </c>
      <c r="C44" s="4">
        <v>1310.78619</v>
      </c>
      <c r="D44" s="4">
        <v>6</v>
      </c>
      <c r="E44" s="1" t="str">
        <f t="shared" ref="E44:E61" si="3">E$42</f>
        <v>59572-0503-21</v>
      </c>
      <c r="F44" t="str">
        <f>INDEX(REDBOOKSearchResults!$A$1:$AK$100, MATCH($E44, INDEX(REDBOOKSearchResults!$A$1:$AK$100, 0, MATCH($E$1, REDBOOKSearchResults!$1:$1, 0)), 0), MATCH(F$1, REDBOOKSearchResults!$1:$1, 0))</f>
        <v>3 mg</v>
      </c>
      <c r="G44" t="str">
        <f>INDEX(REDBOOKSearchResults!$A$1:$AK$100, MATCH($E44, INDEX(REDBOOKSearchResults!$A$1:$AK$100, 0, MATCH($E$1, REDBOOKSearchResults!$1:$1, 0)), 0), MATCH(G$1, REDBOOKSearchResults!$1:$1, 0))</f>
        <v>21s ea</v>
      </c>
    </row>
    <row r="45" spans="1:7" x14ac:dyDescent="0.2">
      <c r="A45" t="str">
        <f t="shared" si="0"/>
        <v>POMALYST</v>
      </c>
      <c r="B45" s="3">
        <v>45108</v>
      </c>
      <c r="C45" s="4">
        <v>1236.59095</v>
      </c>
      <c r="D45" s="4">
        <v>2.5</v>
      </c>
      <c r="E45" s="1" t="str">
        <f t="shared" si="3"/>
        <v>59572-0503-21</v>
      </c>
      <c r="F45" t="str">
        <f>INDEX(REDBOOKSearchResults!$A$1:$AK$100, MATCH($E45, INDEX(REDBOOKSearchResults!$A$1:$AK$100, 0, MATCH($E$1, REDBOOKSearchResults!$1:$1, 0)), 0), MATCH(F$1, REDBOOKSearchResults!$1:$1, 0))</f>
        <v>3 mg</v>
      </c>
      <c r="G45" t="str">
        <f>INDEX(REDBOOKSearchResults!$A$1:$AK$100, MATCH($E45, INDEX(REDBOOKSearchResults!$A$1:$AK$100, 0, MATCH($E$1, REDBOOKSearchResults!$1:$1, 0)), 0), MATCH(G$1, REDBOOKSearchResults!$1:$1, 0))</f>
        <v>21s ea</v>
      </c>
    </row>
    <row r="46" spans="1:7" x14ac:dyDescent="0.2">
      <c r="A46" t="str">
        <f t="shared" si="0"/>
        <v>POMALYST</v>
      </c>
      <c r="B46" s="3">
        <v>44927</v>
      </c>
      <c r="C46" s="4">
        <v>1206.43048</v>
      </c>
      <c r="D46" s="4">
        <v>6</v>
      </c>
      <c r="E46" s="1" t="str">
        <f t="shared" si="3"/>
        <v>59572-0503-21</v>
      </c>
      <c r="F46" t="str">
        <f>INDEX(REDBOOKSearchResults!$A$1:$AK$100, MATCH($E46, INDEX(REDBOOKSearchResults!$A$1:$AK$100, 0, MATCH($E$1, REDBOOKSearchResults!$1:$1, 0)), 0), MATCH(F$1, REDBOOKSearchResults!$1:$1, 0))</f>
        <v>3 mg</v>
      </c>
      <c r="G46" t="str">
        <f>INDEX(REDBOOKSearchResults!$A$1:$AK$100, MATCH($E46, INDEX(REDBOOKSearchResults!$A$1:$AK$100, 0, MATCH($E$1, REDBOOKSearchResults!$1:$1, 0)), 0), MATCH(G$1, REDBOOKSearchResults!$1:$1, 0))</f>
        <v>21s ea</v>
      </c>
    </row>
    <row r="47" spans="1:7" x14ac:dyDescent="0.2">
      <c r="A47" t="str">
        <f t="shared" si="0"/>
        <v>POMALYST</v>
      </c>
      <c r="B47" s="3">
        <v>44562</v>
      </c>
      <c r="C47" s="4">
        <v>1138.1419000000001</v>
      </c>
      <c r="D47" s="4">
        <v>4.5</v>
      </c>
      <c r="E47" s="1" t="str">
        <f t="shared" si="3"/>
        <v>59572-0503-21</v>
      </c>
      <c r="F47" t="str">
        <f>INDEX(REDBOOKSearchResults!$A$1:$AK$100, MATCH($E47, INDEX(REDBOOKSearchResults!$A$1:$AK$100, 0, MATCH($E$1, REDBOOKSearchResults!$1:$1, 0)), 0), MATCH(F$1, REDBOOKSearchResults!$1:$1, 0))</f>
        <v>3 mg</v>
      </c>
      <c r="G47" t="str">
        <f>INDEX(REDBOOKSearchResults!$A$1:$AK$100, MATCH($E47, INDEX(REDBOOKSearchResults!$A$1:$AK$100, 0, MATCH($E$1, REDBOOKSearchResults!$1:$1, 0)), 0), MATCH(G$1, REDBOOKSearchResults!$1:$1, 0))</f>
        <v>21s ea</v>
      </c>
    </row>
    <row r="48" spans="1:7" x14ac:dyDescent="0.2">
      <c r="A48" t="str">
        <f t="shared" si="0"/>
        <v>POMALYST</v>
      </c>
      <c r="B48" s="3">
        <v>44197</v>
      </c>
      <c r="C48" s="4">
        <v>1089.13095</v>
      </c>
      <c r="D48" s="4">
        <v>4.5</v>
      </c>
      <c r="E48" s="1" t="str">
        <f t="shared" si="3"/>
        <v>59572-0503-21</v>
      </c>
      <c r="F48" t="str">
        <f>INDEX(REDBOOKSearchResults!$A$1:$AK$100, MATCH($E48, INDEX(REDBOOKSearchResults!$A$1:$AK$100, 0, MATCH($E$1, REDBOOKSearchResults!$1:$1, 0)), 0), MATCH(F$1, REDBOOKSearchResults!$1:$1, 0))</f>
        <v>3 mg</v>
      </c>
      <c r="G48" t="str">
        <f>INDEX(REDBOOKSearchResults!$A$1:$AK$100, MATCH($E48, INDEX(REDBOOKSearchResults!$A$1:$AK$100, 0, MATCH($E$1, REDBOOKSearchResults!$1:$1, 0)), 0), MATCH(G$1, REDBOOKSearchResults!$1:$1, 0))</f>
        <v>21s ea</v>
      </c>
    </row>
    <row r="49" spans="1:7" x14ac:dyDescent="0.2">
      <c r="A49" t="str">
        <f t="shared" si="0"/>
        <v>POMALYST</v>
      </c>
      <c r="B49" s="3">
        <v>43831</v>
      </c>
      <c r="C49" s="4">
        <v>1042.2304799999999</v>
      </c>
      <c r="D49" s="4">
        <v>6</v>
      </c>
      <c r="E49" s="1" t="str">
        <f t="shared" si="3"/>
        <v>59572-0503-21</v>
      </c>
      <c r="F49" t="str">
        <f>INDEX(REDBOOKSearchResults!$A$1:$AK$100, MATCH($E49, INDEX(REDBOOKSearchResults!$A$1:$AK$100, 0, MATCH($E$1, REDBOOKSearchResults!$1:$1, 0)), 0), MATCH(F$1, REDBOOKSearchResults!$1:$1, 0))</f>
        <v>3 mg</v>
      </c>
      <c r="G49" t="str">
        <f>INDEX(REDBOOKSearchResults!$A$1:$AK$100, MATCH($E49, INDEX(REDBOOKSearchResults!$A$1:$AK$100, 0, MATCH($E$1, REDBOOKSearchResults!$1:$1, 0)), 0), MATCH(G$1, REDBOOKSearchResults!$1:$1, 0))</f>
        <v>21s ea</v>
      </c>
    </row>
    <row r="50" spans="1:7" x14ac:dyDescent="0.2">
      <c r="A50" t="str">
        <f t="shared" si="0"/>
        <v>POMALYST</v>
      </c>
      <c r="B50" s="3">
        <v>43468</v>
      </c>
      <c r="C50" s="4">
        <v>983.23618999999997</v>
      </c>
      <c r="D50" s="4">
        <v>3.5</v>
      </c>
      <c r="E50" s="1" t="str">
        <f t="shared" si="3"/>
        <v>59572-0503-21</v>
      </c>
      <c r="F50" t="str">
        <f>INDEX(REDBOOKSearchResults!$A$1:$AK$100, MATCH($E50, INDEX(REDBOOKSearchResults!$A$1:$AK$100, 0, MATCH($E$1, REDBOOKSearchResults!$1:$1, 0)), 0), MATCH(F$1, REDBOOKSearchResults!$1:$1, 0))</f>
        <v>3 mg</v>
      </c>
      <c r="G50" t="str">
        <f>INDEX(REDBOOKSearchResults!$A$1:$AK$100, MATCH($E50, INDEX(REDBOOKSearchResults!$A$1:$AK$100, 0, MATCH($E$1, REDBOOKSearchResults!$1:$1, 0)), 0), MATCH(G$1, REDBOOKSearchResults!$1:$1, 0))</f>
        <v>21s ea</v>
      </c>
    </row>
    <row r="51" spans="1:7" x14ac:dyDescent="0.2">
      <c r="A51" t="str">
        <f t="shared" si="0"/>
        <v>POMALYST</v>
      </c>
      <c r="B51" s="3">
        <v>43291</v>
      </c>
      <c r="C51" s="4">
        <v>949.98618999999997</v>
      </c>
      <c r="D51" s="4">
        <v>5</v>
      </c>
      <c r="E51" s="1" t="str">
        <f t="shared" si="3"/>
        <v>59572-0503-21</v>
      </c>
      <c r="F51" t="str">
        <f>INDEX(REDBOOKSearchResults!$A$1:$AK$100, MATCH($E51, INDEX(REDBOOKSearchResults!$A$1:$AK$100, 0, MATCH($E$1, REDBOOKSearchResults!$1:$1, 0)), 0), MATCH(F$1, REDBOOKSearchResults!$1:$1, 0))</f>
        <v>3 mg</v>
      </c>
      <c r="G51" t="str">
        <f>INDEX(REDBOOKSearchResults!$A$1:$AK$100, MATCH($E51, INDEX(REDBOOKSearchResults!$A$1:$AK$100, 0, MATCH($E$1, REDBOOKSearchResults!$1:$1, 0)), 0), MATCH(G$1, REDBOOKSearchResults!$1:$1, 0))</f>
        <v>21s ea</v>
      </c>
    </row>
    <row r="52" spans="1:7" x14ac:dyDescent="0.2">
      <c r="A52" t="str">
        <f t="shared" si="0"/>
        <v>POMALYST</v>
      </c>
      <c r="B52" s="3">
        <v>43028</v>
      </c>
      <c r="C52" s="4">
        <v>904.74856999999997</v>
      </c>
      <c r="D52" s="4">
        <v>9</v>
      </c>
      <c r="E52" s="1" t="str">
        <f t="shared" si="3"/>
        <v>59572-0503-21</v>
      </c>
      <c r="F52" t="str">
        <f>INDEX(REDBOOKSearchResults!$A$1:$AK$100, MATCH($E52, INDEX(REDBOOKSearchResults!$A$1:$AK$100, 0, MATCH($E$1, REDBOOKSearchResults!$1:$1, 0)), 0), MATCH(F$1, REDBOOKSearchResults!$1:$1, 0))</f>
        <v>3 mg</v>
      </c>
      <c r="G52" t="str">
        <f>INDEX(REDBOOKSearchResults!$A$1:$AK$100, MATCH($E52, INDEX(REDBOOKSearchResults!$A$1:$AK$100, 0, MATCH($E$1, REDBOOKSearchResults!$1:$1, 0)), 0), MATCH(G$1, REDBOOKSearchResults!$1:$1, 0))</f>
        <v>21s ea</v>
      </c>
    </row>
    <row r="53" spans="1:7" x14ac:dyDescent="0.2">
      <c r="A53" t="str">
        <f t="shared" si="0"/>
        <v>POMALYST</v>
      </c>
      <c r="B53" s="3">
        <v>42830</v>
      </c>
      <c r="C53" s="4">
        <v>830.04476</v>
      </c>
      <c r="D53" s="4">
        <v>8</v>
      </c>
      <c r="E53" s="1" t="str">
        <f t="shared" si="3"/>
        <v>59572-0503-21</v>
      </c>
      <c r="F53" t="str">
        <f>INDEX(REDBOOKSearchResults!$A$1:$AK$100, MATCH($E53, INDEX(REDBOOKSearchResults!$A$1:$AK$100, 0, MATCH($E$1, REDBOOKSearchResults!$1:$1, 0)), 0), MATCH(F$1, REDBOOKSearchResults!$1:$1, 0))</f>
        <v>3 mg</v>
      </c>
      <c r="G53" t="str">
        <f>INDEX(REDBOOKSearchResults!$A$1:$AK$100, MATCH($E53, INDEX(REDBOOKSearchResults!$A$1:$AK$100, 0, MATCH($E$1, REDBOOKSearchResults!$1:$1, 0)), 0), MATCH(G$1, REDBOOKSearchResults!$1:$1, 0))</f>
        <v>21s ea</v>
      </c>
    </row>
    <row r="54" spans="1:7" x14ac:dyDescent="0.2">
      <c r="A54" t="str">
        <f t="shared" si="0"/>
        <v>POMALYST</v>
      </c>
      <c r="B54" s="3">
        <v>42602</v>
      </c>
      <c r="C54" s="4">
        <v>768.56</v>
      </c>
      <c r="D54" s="4">
        <v>3</v>
      </c>
      <c r="E54" s="1" t="str">
        <f t="shared" si="3"/>
        <v>59572-0503-21</v>
      </c>
      <c r="F54" t="str">
        <f>INDEX(REDBOOKSearchResults!$A$1:$AK$100, MATCH($E54, INDEX(REDBOOKSearchResults!$A$1:$AK$100, 0, MATCH($E$1, REDBOOKSearchResults!$1:$1, 0)), 0), MATCH(F$1, REDBOOKSearchResults!$1:$1, 0))</f>
        <v>3 mg</v>
      </c>
      <c r="G54" t="str">
        <f>INDEX(REDBOOKSearchResults!$A$1:$AK$100, MATCH($E54, INDEX(REDBOOKSearchResults!$A$1:$AK$100, 0, MATCH($E$1, REDBOOKSearchResults!$1:$1, 0)), 0), MATCH(G$1, REDBOOKSearchResults!$1:$1, 0))</f>
        <v>21s ea</v>
      </c>
    </row>
    <row r="55" spans="1:7" x14ac:dyDescent="0.2">
      <c r="A55" t="str">
        <f t="shared" si="0"/>
        <v>POMALYST</v>
      </c>
      <c r="B55" s="3">
        <v>42439</v>
      </c>
      <c r="C55" s="4">
        <v>746.17475999999999</v>
      </c>
      <c r="D55" s="4">
        <v>6.8</v>
      </c>
      <c r="E55" s="1" t="str">
        <f t="shared" si="3"/>
        <v>59572-0503-21</v>
      </c>
      <c r="F55" t="str">
        <f>INDEX(REDBOOKSearchResults!$A$1:$AK$100, MATCH($E55, INDEX(REDBOOKSearchResults!$A$1:$AK$100, 0, MATCH($E$1, REDBOOKSearchResults!$1:$1, 0)), 0), MATCH(F$1, REDBOOKSearchResults!$1:$1, 0))</f>
        <v>3 mg</v>
      </c>
      <c r="G55" t="str">
        <f>INDEX(REDBOOKSearchResults!$A$1:$AK$100, MATCH($E55, INDEX(REDBOOKSearchResults!$A$1:$AK$100, 0, MATCH($E$1, REDBOOKSearchResults!$1:$1, 0)), 0), MATCH(G$1, REDBOOKSearchResults!$1:$1, 0))</f>
        <v>21s ea</v>
      </c>
    </row>
    <row r="56" spans="1:7" x14ac:dyDescent="0.2">
      <c r="A56" t="str">
        <f t="shared" si="0"/>
        <v>POMALYST</v>
      </c>
      <c r="B56" s="3">
        <v>42279</v>
      </c>
      <c r="C56" s="4">
        <v>698.66570999999999</v>
      </c>
      <c r="D56" s="4">
        <v>4</v>
      </c>
      <c r="E56" s="1" t="str">
        <f t="shared" si="3"/>
        <v>59572-0503-21</v>
      </c>
      <c r="F56" t="str">
        <f>INDEX(REDBOOKSearchResults!$A$1:$AK$100, MATCH($E56, INDEX(REDBOOKSearchResults!$A$1:$AK$100, 0, MATCH($E$1, REDBOOKSearchResults!$1:$1, 0)), 0), MATCH(F$1, REDBOOKSearchResults!$1:$1, 0))</f>
        <v>3 mg</v>
      </c>
      <c r="G56" t="str">
        <f>INDEX(REDBOOKSearchResults!$A$1:$AK$100, MATCH($E56, INDEX(REDBOOKSearchResults!$A$1:$AK$100, 0, MATCH($E$1, REDBOOKSearchResults!$1:$1, 0)), 0), MATCH(G$1, REDBOOKSearchResults!$1:$1, 0))</f>
        <v>21s ea</v>
      </c>
    </row>
    <row r="57" spans="1:7" x14ac:dyDescent="0.2">
      <c r="A57" t="str">
        <f t="shared" si="0"/>
        <v>POMALYST</v>
      </c>
      <c r="B57" s="3">
        <v>42180</v>
      </c>
      <c r="C57" s="4">
        <v>671.79381000000001</v>
      </c>
      <c r="D57" s="4">
        <v>3</v>
      </c>
      <c r="E57" s="1" t="str">
        <f t="shared" si="3"/>
        <v>59572-0503-21</v>
      </c>
      <c r="F57" t="str">
        <f>INDEX(REDBOOKSearchResults!$A$1:$AK$100, MATCH($E57, INDEX(REDBOOKSearchResults!$A$1:$AK$100, 0, MATCH($E$1, REDBOOKSearchResults!$1:$1, 0)), 0), MATCH(F$1, REDBOOKSearchResults!$1:$1, 0))</f>
        <v>3 mg</v>
      </c>
      <c r="G57" t="str">
        <f>INDEX(REDBOOKSearchResults!$A$1:$AK$100, MATCH($E57, INDEX(REDBOOKSearchResults!$A$1:$AK$100, 0, MATCH($E$1, REDBOOKSearchResults!$1:$1, 0)), 0), MATCH(G$1, REDBOOKSearchResults!$1:$1, 0))</f>
        <v>21s ea</v>
      </c>
    </row>
    <row r="58" spans="1:7" x14ac:dyDescent="0.2">
      <c r="A58" t="str">
        <f t="shared" si="0"/>
        <v>POMALYST</v>
      </c>
      <c r="B58" s="3">
        <v>41996</v>
      </c>
      <c r="C58" s="4">
        <v>652.22667000000001</v>
      </c>
      <c r="D58" s="4">
        <v>3</v>
      </c>
      <c r="E58" s="1" t="str">
        <f t="shared" si="3"/>
        <v>59572-0503-21</v>
      </c>
      <c r="F58" t="str">
        <f>INDEX(REDBOOKSearchResults!$A$1:$AK$100, MATCH($E58, INDEX(REDBOOKSearchResults!$A$1:$AK$100, 0, MATCH($E$1, REDBOOKSearchResults!$1:$1, 0)), 0), MATCH(F$1, REDBOOKSearchResults!$1:$1, 0))</f>
        <v>3 mg</v>
      </c>
      <c r="G58" t="str">
        <f>INDEX(REDBOOKSearchResults!$A$1:$AK$100, MATCH($E58, INDEX(REDBOOKSearchResults!$A$1:$AK$100, 0, MATCH($E$1, REDBOOKSearchResults!$1:$1, 0)), 0), MATCH(G$1, REDBOOKSearchResults!$1:$1, 0))</f>
        <v>21s ea</v>
      </c>
    </row>
    <row r="59" spans="1:7" x14ac:dyDescent="0.2">
      <c r="A59" t="str">
        <f t="shared" si="0"/>
        <v>POMALYST</v>
      </c>
      <c r="B59" s="3">
        <v>41830</v>
      </c>
      <c r="C59" s="4">
        <v>633.22951999999998</v>
      </c>
      <c r="D59" s="4">
        <v>3</v>
      </c>
      <c r="E59" s="1" t="str">
        <f t="shared" si="3"/>
        <v>59572-0503-21</v>
      </c>
      <c r="F59" t="str">
        <f>INDEX(REDBOOKSearchResults!$A$1:$AK$100, MATCH($E59, INDEX(REDBOOKSearchResults!$A$1:$AK$100, 0, MATCH($E$1, REDBOOKSearchResults!$1:$1, 0)), 0), MATCH(F$1, REDBOOKSearchResults!$1:$1, 0))</f>
        <v>3 mg</v>
      </c>
      <c r="G59" t="str">
        <f>INDEX(REDBOOKSearchResults!$A$1:$AK$100, MATCH($E59, INDEX(REDBOOKSearchResults!$A$1:$AK$100, 0, MATCH($E$1, REDBOOKSearchResults!$1:$1, 0)), 0), MATCH(G$1, REDBOOKSearchResults!$1:$1, 0))</f>
        <v>21s ea</v>
      </c>
    </row>
    <row r="60" spans="1:7" x14ac:dyDescent="0.2">
      <c r="A60" t="str">
        <f t="shared" si="0"/>
        <v>POMALYST</v>
      </c>
      <c r="B60" s="3">
        <v>41650</v>
      </c>
      <c r="C60" s="4">
        <v>614.78619000000003</v>
      </c>
      <c r="D60" s="4">
        <v>3</v>
      </c>
      <c r="E60" s="1" t="str">
        <f t="shared" si="3"/>
        <v>59572-0503-21</v>
      </c>
      <c r="F60" t="str">
        <f>INDEX(REDBOOKSearchResults!$A$1:$AK$100, MATCH($E60, INDEX(REDBOOKSearchResults!$A$1:$AK$100, 0, MATCH($E$1, REDBOOKSearchResults!$1:$1, 0)), 0), MATCH(F$1, REDBOOKSearchResults!$1:$1, 0))</f>
        <v>3 mg</v>
      </c>
      <c r="G60" t="str">
        <f>INDEX(REDBOOKSearchResults!$A$1:$AK$100, MATCH($E60, INDEX(REDBOOKSearchResults!$A$1:$AK$100, 0, MATCH($E$1, REDBOOKSearchResults!$1:$1, 0)), 0), MATCH(G$1, REDBOOKSearchResults!$1:$1, 0))</f>
        <v>21s ea</v>
      </c>
    </row>
    <row r="61" spans="1:7" x14ac:dyDescent="0.2">
      <c r="A61" t="str">
        <f t="shared" si="0"/>
        <v>POMALYST</v>
      </c>
      <c r="B61" s="3">
        <v>41316</v>
      </c>
      <c r="C61" s="4">
        <v>596.88</v>
      </c>
      <c r="D61" s="4">
        <v>0</v>
      </c>
      <c r="E61" s="1" t="str">
        <f t="shared" si="3"/>
        <v>59572-0503-21</v>
      </c>
      <c r="F61" t="str">
        <f>INDEX(REDBOOKSearchResults!$A$1:$AK$100, MATCH($E61, INDEX(REDBOOKSearchResults!$A$1:$AK$100, 0, MATCH($E$1, REDBOOKSearchResults!$1:$1, 0)), 0), MATCH(F$1, REDBOOKSearchResults!$1:$1, 0))</f>
        <v>3 mg</v>
      </c>
      <c r="G61" t="str">
        <f>INDEX(REDBOOKSearchResults!$A$1:$AK$100, MATCH($E61, INDEX(REDBOOKSearchResults!$A$1:$AK$100, 0, MATCH($E$1, REDBOOKSearchResults!$1:$1, 0)), 0), MATCH(G$1, REDBOOKSearchResults!$1:$1, 0))</f>
        <v>21s ea</v>
      </c>
    </row>
    <row r="62" spans="1:7" x14ac:dyDescent="0.2">
      <c r="A62" t="str">
        <f t="shared" si="0"/>
        <v>POMALYST</v>
      </c>
      <c r="B62" s="3">
        <v>46023</v>
      </c>
      <c r="C62" s="4">
        <v>1431.4110000000001</v>
      </c>
      <c r="D62" s="4">
        <v>4.5</v>
      </c>
      <c r="E62" s="1" t="s">
        <v>60</v>
      </c>
      <c r="F62" t="str">
        <f>INDEX(REDBOOKSearchResults!$A$1:$AK$100, MATCH($E62, INDEX(REDBOOKSearchResults!$A$1:$AK$100, 0, MATCH($E$1, REDBOOKSearchResults!$1:$1, 0)), 0), MATCH(F$1, REDBOOKSearchResults!$1:$1, 0))</f>
        <v>3 mg</v>
      </c>
      <c r="G62" t="str">
        <f>INDEX(REDBOOKSearchResults!$A$1:$AK$100, MATCH($E62, INDEX(REDBOOKSearchResults!$A$1:$AK$100, 0, MATCH($E$1, REDBOOKSearchResults!$1:$1, 0)), 0), MATCH(G$1, REDBOOKSearchResults!$1:$1, 0))</f>
        <v>100s ea</v>
      </c>
    </row>
    <row r="63" spans="1:7" x14ac:dyDescent="0.2">
      <c r="A63" t="str">
        <f t="shared" si="0"/>
        <v>POMALYST</v>
      </c>
      <c r="B63" s="3">
        <v>45658</v>
      </c>
      <c r="C63" s="4">
        <v>1369.7713000000001</v>
      </c>
      <c r="D63" s="4">
        <v>4.5</v>
      </c>
      <c r="E63" s="1" t="str">
        <f>E$62</f>
        <v>59572-0503-00</v>
      </c>
      <c r="F63" t="str">
        <f>INDEX(REDBOOKSearchResults!$A$1:$AK$100, MATCH($E63, INDEX(REDBOOKSearchResults!$A$1:$AK$100, 0, MATCH($E$1, REDBOOKSearchResults!$1:$1, 0)), 0), MATCH(F$1, REDBOOKSearchResults!$1:$1, 0))</f>
        <v>3 mg</v>
      </c>
      <c r="G63" t="str">
        <f>INDEX(REDBOOKSearchResults!$A$1:$AK$100, MATCH($E63, INDEX(REDBOOKSearchResults!$A$1:$AK$100, 0, MATCH($E$1, REDBOOKSearchResults!$1:$1, 0)), 0), MATCH(G$1, REDBOOKSearchResults!$1:$1, 0))</f>
        <v>100s ea</v>
      </c>
    </row>
    <row r="64" spans="1:7" x14ac:dyDescent="0.2">
      <c r="A64" t="str">
        <f t="shared" si="0"/>
        <v>POMALYST</v>
      </c>
      <c r="B64" s="3">
        <v>45292</v>
      </c>
      <c r="C64" s="4">
        <v>1310.7859000000001</v>
      </c>
      <c r="D64" s="4">
        <v>6</v>
      </c>
      <c r="E64" s="1" t="str">
        <f t="shared" ref="E64:E81" si="4">E$62</f>
        <v>59572-0503-00</v>
      </c>
      <c r="F64" t="str">
        <f>INDEX(REDBOOKSearchResults!$A$1:$AK$100, MATCH($E64, INDEX(REDBOOKSearchResults!$A$1:$AK$100, 0, MATCH($E$1, REDBOOKSearchResults!$1:$1, 0)), 0), MATCH(F$1, REDBOOKSearchResults!$1:$1, 0))</f>
        <v>3 mg</v>
      </c>
      <c r="G64" t="str">
        <f>INDEX(REDBOOKSearchResults!$A$1:$AK$100, MATCH($E64, INDEX(REDBOOKSearchResults!$A$1:$AK$100, 0, MATCH($E$1, REDBOOKSearchResults!$1:$1, 0)), 0), MATCH(G$1, REDBOOKSearchResults!$1:$1, 0))</f>
        <v>100s ea</v>
      </c>
    </row>
    <row r="65" spans="1:7" x14ac:dyDescent="0.2">
      <c r="A65" t="str">
        <f t="shared" si="0"/>
        <v>POMALYST</v>
      </c>
      <c r="B65" s="3">
        <v>45108</v>
      </c>
      <c r="C65" s="4">
        <v>1236.5905</v>
      </c>
      <c r="D65" s="4">
        <v>2.5</v>
      </c>
      <c r="E65" s="1" t="str">
        <f t="shared" si="4"/>
        <v>59572-0503-00</v>
      </c>
      <c r="F65" t="str">
        <f>INDEX(REDBOOKSearchResults!$A$1:$AK$100, MATCH($E65, INDEX(REDBOOKSearchResults!$A$1:$AK$100, 0, MATCH($E$1, REDBOOKSearchResults!$1:$1, 0)), 0), MATCH(F$1, REDBOOKSearchResults!$1:$1, 0))</f>
        <v>3 mg</v>
      </c>
      <c r="G65" t="str">
        <f>INDEX(REDBOOKSearchResults!$A$1:$AK$100, MATCH($E65, INDEX(REDBOOKSearchResults!$A$1:$AK$100, 0, MATCH($E$1, REDBOOKSearchResults!$1:$1, 0)), 0), MATCH(G$1, REDBOOKSearchResults!$1:$1, 0))</f>
        <v>100s ea</v>
      </c>
    </row>
    <row r="66" spans="1:7" x14ac:dyDescent="0.2">
      <c r="A66" t="str">
        <f t="shared" si="0"/>
        <v>POMALYST</v>
      </c>
      <c r="B66" s="3">
        <v>44927</v>
      </c>
      <c r="C66" s="4">
        <v>1206.4297999999999</v>
      </c>
      <c r="D66" s="4">
        <v>6</v>
      </c>
      <c r="E66" s="1" t="str">
        <f t="shared" si="4"/>
        <v>59572-0503-00</v>
      </c>
      <c r="F66" t="str">
        <f>INDEX(REDBOOKSearchResults!$A$1:$AK$100, MATCH($E66, INDEX(REDBOOKSearchResults!$A$1:$AK$100, 0, MATCH($E$1, REDBOOKSearchResults!$1:$1, 0)), 0), MATCH(F$1, REDBOOKSearchResults!$1:$1, 0))</f>
        <v>3 mg</v>
      </c>
      <c r="G66" t="str">
        <f>INDEX(REDBOOKSearchResults!$A$1:$AK$100, MATCH($E66, INDEX(REDBOOKSearchResults!$A$1:$AK$100, 0, MATCH($E$1, REDBOOKSearchResults!$1:$1, 0)), 0), MATCH(G$1, REDBOOKSearchResults!$1:$1, 0))</f>
        <v>100s ea</v>
      </c>
    </row>
    <row r="67" spans="1:7" x14ac:dyDescent="0.2">
      <c r="A67" t="str">
        <f t="shared" si="0"/>
        <v>POMALYST</v>
      </c>
      <c r="B67" s="3">
        <v>44562</v>
      </c>
      <c r="C67" s="4">
        <v>1138.1412</v>
      </c>
      <c r="D67" s="4">
        <v>4.5</v>
      </c>
      <c r="E67" s="1" t="str">
        <f t="shared" si="4"/>
        <v>59572-0503-00</v>
      </c>
      <c r="F67" t="str">
        <f>INDEX(REDBOOKSearchResults!$A$1:$AK$100, MATCH($E67, INDEX(REDBOOKSearchResults!$A$1:$AK$100, 0, MATCH($E$1, REDBOOKSearchResults!$1:$1, 0)), 0), MATCH(F$1, REDBOOKSearchResults!$1:$1, 0))</f>
        <v>3 mg</v>
      </c>
      <c r="G67" t="str">
        <f>INDEX(REDBOOKSearchResults!$A$1:$AK$100, MATCH($E67, INDEX(REDBOOKSearchResults!$A$1:$AK$100, 0, MATCH($E$1, REDBOOKSearchResults!$1:$1, 0)), 0), MATCH(G$1, REDBOOKSearchResults!$1:$1, 0))</f>
        <v>100s ea</v>
      </c>
    </row>
    <row r="68" spans="1:7" x14ac:dyDescent="0.2">
      <c r="A68" t="str">
        <f t="shared" ref="A68:A131" si="5">A67</f>
        <v>POMALYST</v>
      </c>
      <c r="B68" s="3">
        <v>44197</v>
      </c>
      <c r="C68" s="4">
        <v>1089.1303</v>
      </c>
      <c r="D68" s="4">
        <v>4.5</v>
      </c>
      <c r="E68" s="1" t="str">
        <f t="shared" si="4"/>
        <v>59572-0503-00</v>
      </c>
      <c r="F68" t="str">
        <f>INDEX(REDBOOKSearchResults!$A$1:$AK$100, MATCH($E68, INDEX(REDBOOKSearchResults!$A$1:$AK$100, 0, MATCH($E$1, REDBOOKSearchResults!$1:$1, 0)), 0), MATCH(F$1, REDBOOKSearchResults!$1:$1, 0))</f>
        <v>3 mg</v>
      </c>
      <c r="G68" t="str">
        <f>INDEX(REDBOOKSearchResults!$A$1:$AK$100, MATCH($E68, INDEX(REDBOOKSearchResults!$A$1:$AK$100, 0, MATCH($E$1, REDBOOKSearchResults!$1:$1, 0)), 0), MATCH(G$1, REDBOOKSearchResults!$1:$1, 0))</f>
        <v>100s ea</v>
      </c>
    </row>
    <row r="69" spans="1:7" x14ac:dyDescent="0.2">
      <c r="A69" t="str">
        <f t="shared" si="5"/>
        <v>POMALYST</v>
      </c>
      <c r="B69" s="3">
        <v>43831</v>
      </c>
      <c r="C69" s="4">
        <v>1042.23</v>
      </c>
      <c r="D69" s="4">
        <v>6</v>
      </c>
      <c r="E69" s="1" t="str">
        <f t="shared" si="4"/>
        <v>59572-0503-00</v>
      </c>
      <c r="F69" t="str">
        <f>INDEX(REDBOOKSearchResults!$A$1:$AK$100, MATCH($E69, INDEX(REDBOOKSearchResults!$A$1:$AK$100, 0, MATCH($E$1, REDBOOKSearchResults!$1:$1, 0)), 0), MATCH(F$1, REDBOOKSearchResults!$1:$1, 0))</f>
        <v>3 mg</v>
      </c>
      <c r="G69" t="str">
        <f>INDEX(REDBOOKSearchResults!$A$1:$AK$100, MATCH($E69, INDEX(REDBOOKSearchResults!$A$1:$AK$100, 0, MATCH($E$1, REDBOOKSearchResults!$1:$1, 0)), 0), MATCH(G$1, REDBOOKSearchResults!$1:$1, 0))</f>
        <v>100s ea</v>
      </c>
    </row>
    <row r="70" spans="1:7" x14ac:dyDescent="0.2">
      <c r="A70" t="str">
        <f t="shared" si="5"/>
        <v>POMALYST</v>
      </c>
      <c r="B70" s="3">
        <v>43468</v>
      </c>
      <c r="C70" s="4">
        <v>983.23590000000002</v>
      </c>
      <c r="D70" s="4">
        <v>3.5</v>
      </c>
      <c r="E70" s="1" t="str">
        <f t="shared" si="4"/>
        <v>59572-0503-00</v>
      </c>
      <c r="F70" t="str">
        <f>INDEX(REDBOOKSearchResults!$A$1:$AK$100, MATCH($E70, INDEX(REDBOOKSearchResults!$A$1:$AK$100, 0, MATCH($E$1, REDBOOKSearchResults!$1:$1, 0)), 0), MATCH(F$1, REDBOOKSearchResults!$1:$1, 0))</f>
        <v>3 mg</v>
      </c>
      <c r="G70" t="str">
        <f>INDEX(REDBOOKSearchResults!$A$1:$AK$100, MATCH($E70, INDEX(REDBOOKSearchResults!$A$1:$AK$100, 0, MATCH($E$1, REDBOOKSearchResults!$1:$1, 0)), 0), MATCH(G$1, REDBOOKSearchResults!$1:$1, 0))</f>
        <v>100s ea</v>
      </c>
    </row>
    <row r="71" spans="1:7" x14ac:dyDescent="0.2">
      <c r="A71" t="str">
        <f t="shared" si="5"/>
        <v>POMALYST</v>
      </c>
      <c r="B71" s="3">
        <v>43291</v>
      </c>
      <c r="C71" s="4">
        <v>949.9864</v>
      </c>
      <c r="D71" s="4">
        <v>5</v>
      </c>
      <c r="E71" s="1" t="str">
        <f t="shared" si="4"/>
        <v>59572-0503-00</v>
      </c>
      <c r="F71" t="str">
        <f>INDEX(REDBOOKSearchResults!$A$1:$AK$100, MATCH($E71, INDEX(REDBOOKSearchResults!$A$1:$AK$100, 0, MATCH($E$1, REDBOOKSearchResults!$1:$1, 0)), 0), MATCH(F$1, REDBOOKSearchResults!$1:$1, 0))</f>
        <v>3 mg</v>
      </c>
      <c r="G71" t="str">
        <f>INDEX(REDBOOKSearchResults!$A$1:$AK$100, MATCH($E71, INDEX(REDBOOKSearchResults!$A$1:$AK$100, 0, MATCH($E$1, REDBOOKSearchResults!$1:$1, 0)), 0), MATCH(G$1, REDBOOKSearchResults!$1:$1, 0))</f>
        <v>100s ea</v>
      </c>
    </row>
    <row r="72" spans="1:7" x14ac:dyDescent="0.2">
      <c r="A72" t="str">
        <f t="shared" si="5"/>
        <v>POMALYST</v>
      </c>
      <c r="B72" s="3">
        <v>43028</v>
      </c>
      <c r="C72" s="4">
        <v>904.74890000000005</v>
      </c>
      <c r="D72" s="4">
        <v>9</v>
      </c>
      <c r="E72" s="1" t="str">
        <f t="shared" si="4"/>
        <v>59572-0503-00</v>
      </c>
      <c r="F72" t="str">
        <f>INDEX(REDBOOKSearchResults!$A$1:$AK$100, MATCH($E72, INDEX(REDBOOKSearchResults!$A$1:$AK$100, 0, MATCH($E$1, REDBOOKSearchResults!$1:$1, 0)), 0), MATCH(F$1, REDBOOKSearchResults!$1:$1, 0))</f>
        <v>3 mg</v>
      </c>
      <c r="G72" t="str">
        <f>INDEX(REDBOOKSearchResults!$A$1:$AK$100, MATCH($E72, INDEX(REDBOOKSearchResults!$A$1:$AK$100, 0, MATCH($E$1, REDBOOKSearchResults!$1:$1, 0)), 0), MATCH(G$1, REDBOOKSearchResults!$1:$1, 0))</f>
        <v>100s ea</v>
      </c>
    </row>
    <row r="73" spans="1:7" x14ac:dyDescent="0.2">
      <c r="A73" t="str">
        <f t="shared" si="5"/>
        <v>POMALYST</v>
      </c>
      <c r="B73" s="3">
        <v>42830</v>
      </c>
      <c r="C73" s="4">
        <v>830.04480000000001</v>
      </c>
      <c r="D73" s="4">
        <v>8</v>
      </c>
      <c r="E73" s="1" t="str">
        <f t="shared" si="4"/>
        <v>59572-0503-00</v>
      </c>
      <c r="F73" t="str">
        <f>INDEX(REDBOOKSearchResults!$A$1:$AK$100, MATCH($E73, INDEX(REDBOOKSearchResults!$A$1:$AK$100, 0, MATCH($E$1, REDBOOKSearchResults!$1:$1, 0)), 0), MATCH(F$1, REDBOOKSearchResults!$1:$1, 0))</f>
        <v>3 mg</v>
      </c>
      <c r="G73" t="str">
        <f>INDEX(REDBOOKSearchResults!$A$1:$AK$100, MATCH($E73, INDEX(REDBOOKSearchResults!$A$1:$AK$100, 0, MATCH($E$1, REDBOOKSearchResults!$1:$1, 0)), 0), MATCH(G$1, REDBOOKSearchResults!$1:$1, 0))</f>
        <v>100s ea</v>
      </c>
    </row>
    <row r="74" spans="1:7" x14ac:dyDescent="0.2">
      <c r="A74" t="str">
        <f t="shared" si="5"/>
        <v>POMALYST</v>
      </c>
      <c r="B74" s="3">
        <v>42602</v>
      </c>
      <c r="C74" s="4">
        <v>768.56010000000003</v>
      </c>
      <c r="D74" s="4">
        <v>3</v>
      </c>
      <c r="E74" s="1" t="str">
        <f t="shared" si="4"/>
        <v>59572-0503-00</v>
      </c>
      <c r="F74" t="str">
        <f>INDEX(REDBOOKSearchResults!$A$1:$AK$100, MATCH($E74, INDEX(REDBOOKSearchResults!$A$1:$AK$100, 0, MATCH($E$1, REDBOOKSearchResults!$1:$1, 0)), 0), MATCH(F$1, REDBOOKSearchResults!$1:$1, 0))</f>
        <v>3 mg</v>
      </c>
      <c r="G74" t="str">
        <f>INDEX(REDBOOKSearchResults!$A$1:$AK$100, MATCH($E74, INDEX(REDBOOKSearchResults!$A$1:$AK$100, 0, MATCH($E$1, REDBOOKSearchResults!$1:$1, 0)), 0), MATCH(G$1, REDBOOKSearchResults!$1:$1, 0))</f>
        <v>100s ea</v>
      </c>
    </row>
    <row r="75" spans="1:7" x14ac:dyDescent="0.2">
      <c r="A75" t="str">
        <f t="shared" si="5"/>
        <v>POMALYST</v>
      </c>
      <c r="B75" s="3">
        <v>42439</v>
      </c>
      <c r="C75" s="4">
        <v>746.1748</v>
      </c>
      <c r="D75" s="4">
        <v>6.8</v>
      </c>
      <c r="E75" s="1" t="str">
        <f t="shared" si="4"/>
        <v>59572-0503-00</v>
      </c>
      <c r="F75" t="str">
        <f>INDEX(REDBOOKSearchResults!$A$1:$AK$100, MATCH($E75, INDEX(REDBOOKSearchResults!$A$1:$AK$100, 0, MATCH($E$1, REDBOOKSearchResults!$1:$1, 0)), 0), MATCH(F$1, REDBOOKSearchResults!$1:$1, 0))</f>
        <v>3 mg</v>
      </c>
      <c r="G75" t="str">
        <f>INDEX(REDBOOKSearchResults!$A$1:$AK$100, MATCH($E75, INDEX(REDBOOKSearchResults!$A$1:$AK$100, 0, MATCH($E$1, REDBOOKSearchResults!$1:$1, 0)), 0), MATCH(G$1, REDBOOKSearchResults!$1:$1, 0))</f>
        <v>100s ea</v>
      </c>
    </row>
    <row r="76" spans="1:7" x14ac:dyDescent="0.2">
      <c r="A76" t="str">
        <f t="shared" si="5"/>
        <v>POMALYST</v>
      </c>
      <c r="B76" s="3">
        <v>42279</v>
      </c>
      <c r="C76" s="4">
        <v>698.66549999999995</v>
      </c>
      <c r="D76" s="4">
        <v>4</v>
      </c>
      <c r="E76" s="1" t="str">
        <f t="shared" si="4"/>
        <v>59572-0503-00</v>
      </c>
      <c r="F76" t="str">
        <f>INDEX(REDBOOKSearchResults!$A$1:$AK$100, MATCH($E76, INDEX(REDBOOKSearchResults!$A$1:$AK$100, 0, MATCH($E$1, REDBOOKSearchResults!$1:$1, 0)), 0), MATCH(F$1, REDBOOKSearchResults!$1:$1, 0))</f>
        <v>3 mg</v>
      </c>
      <c r="G76" t="str">
        <f>INDEX(REDBOOKSearchResults!$A$1:$AK$100, MATCH($E76, INDEX(REDBOOKSearchResults!$A$1:$AK$100, 0, MATCH($E$1, REDBOOKSearchResults!$1:$1, 0)), 0), MATCH(G$1, REDBOOKSearchResults!$1:$1, 0))</f>
        <v>100s ea</v>
      </c>
    </row>
    <row r="77" spans="1:7" x14ac:dyDescent="0.2">
      <c r="A77" t="str">
        <f t="shared" si="5"/>
        <v>POMALYST</v>
      </c>
      <c r="B77" s="3">
        <v>42180</v>
      </c>
      <c r="C77" s="4">
        <v>671.79380000000003</v>
      </c>
      <c r="D77" s="4">
        <v>3</v>
      </c>
      <c r="E77" s="1" t="str">
        <f t="shared" si="4"/>
        <v>59572-0503-00</v>
      </c>
      <c r="F77" t="str">
        <f>INDEX(REDBOOKSearchResults!$A$1:$AK$100, MATCH($E77, INDEX(REDBOOKSearchResults!$A$1:$AK$100, 0, MATCH($E$1, REDBOOKSearchResults!$1:$1, 0)), 0), MATCH(F$1, REDBOOKSearchResults!$1:$1, 0))</f>
        <v>3 mg</v>
      </c>
      <c r="G77" t="str">
        <f>INDEX(REDBOOKSearchResults!$A$1:$AK$100, MATCH($E77, INDEX(REDBOOKSearchResults!$A$1:$AK$100, 0, MATCH($E$1, REDBOOKSearchResults!$1:$1, 0)), 0), MATCH(G$1, REDBOOKSearchResults!$1:$1, 0))</f>
        <v>100s ea</v>
      </c>
    </row>
    <row r="78" spans="1:7" x14ac:dyDescent="0.2">
      <c r="A78" t="str">
        <f t="shared" si="5"/>
        <v>POMALYST</v>
      </c>
      <c r="B78" s="3">
        <v>41996</v>
      </c>
      <c r="C78" s="4">
        <v>652.22699999999998</v>
      </c>
      <c r="D78" s="4">
        <v>3</v>
      </c>
      <c r="E78" s="1" t="str">
        <f t="shared" si="4"/>
        <v>59572-0503-00</v>
      </c>
      <c r="F78" t="str">
        <f>INDEX(REDBOOKSearchResults!$A$1:$AK$100, MATCH($E78, INDEX(REDBOOKSearchResults!$A$1:$AK$100, 0, MATCH($E$1, REDBOOKSearchResults!$1:$1, 0)), 0), MATCH(F$1, REDBOOKSearchResults!$1:$1, 0))</f>
        <v>3 mg</v>
      </c>
      <c r="G78" t="str">
        <f>INDEX(REDBOOKSearchResults!$A$1:$AK$100, MATCH($E78, INDEX(REDBOOKSearchResults!$A$1:$AK$100, 0, MATCH($E$1, REDBOOKSearchResults!$1:$1, 0)), 0), MATCH(G$1, REDBOOKSearchResults!$1:$1, 0))</f>
        <v>100s ea</v>
      </c>
    </row>
    <row r="79" spans="1:7" x14ac:dyDescent="0.2">
      <c r="A79" t="str">
        <f t="shared" si="5"/>
        <v>POMALYST</v>
      </c>
      <c r="B79" s="3">
        <v>41830</v>
      </c>
      <c r="C79" s="4">
        <v>633.23009999999999</v>
      </c>
      <c r="D79" s="4">
        <v>3</v>
      </c>
      <c r="E79" s="1" t="str">
        <f t="shared" si="4"/>
        <v>59572-0503-00</v>
      </c>
      <c r="F79" t="str">
        <f>INDEX(REDBOOKSearchResults!$A$1:$AK$100, MATCH($E79, INDEX(REDBOOKSearchResults!$A$1:$AK$100, 0, MATCH($E$1, REDBOOKSearchResults!$1:$1, 0)), 0), MATCH(F$1, REDBOOKSearchResults!$1:$1, 0))</f>
        <v>3 mg</v>
      </c>
      <c r="G79" t="str">
        <f>INDEX(REDBOOKSearchResults!$A$1:$AK$100, MATCH($E79, INDEX(REDBOOKSearchResults!$A$1:$AK$100, 0, MATCH($E$1, REDBOOKSearchResults!$1:$1, 0)), 0), MATCH(G$1, REDBOOKSearchResults!$1:$1, 0))</f>
        <v>100s ea</v>
      </c>
    </row>
    <row r="80" spans="1:7" x14ac:dyDescent="0.2">
      <c r="A80" t="str">
        <f t="shared" si="5"/>
        <v>POMALYST</v>
      </c>
      <c r="B80" s="3">
        <v>41650</v>
      </c>
      <c r="C80" s="4">
        <v>614.78639999999996</v>
      </c>
      <c r="D80" s="4">
        <v>3</v>
      </c>
      <c r="E80" s="1" t="str">
        <f t="shared" si="4"/>
        <v>59572-0503-00</v>
      </c>
      <c r="F80" t="str">
        <f>INDEX(REDBOOKSearchResults!$A$1:$AK$100, MATCH($E80, INDEX(REDBOOKSearchResults!$A$1:$AK$100, 0, MATCH($E$1, REDBOOKSearchResults!$1:$1, 0)), 0), MATCH(F$1, REDBOOKSearchResults!$1:$1, 0))</f>
        <v>3 mg</v>
      </c>
      <c r="G80" t="str">
        <f>INDEX(REDBOOKSearchResults!$A$1:$AK$100, MATCH($E80, INDEX(REDBOOKSearchResults!$A$1:$AK$100, 0, MATCH($E$1, REDBOOKSearchResults!$1:$1, 0)), 0), MATCH(G$1, REDBOOKSearchResults!$1:$1, 0))</f>
        <v>100s ea</v>
      </c>
    </row>
    <row r="81" spans="1:7" x14ac:dyDescent="0.2">
      <c r="A81" t="str">
        <f t="shared" si="5"/>
        <v>POMALYST</v>
      </c>
      <c r="B81" s="3">
        <v>41316</v>
      </c>
      <c r="C81" s="4">
        <v>596.88</v>
      </c>
      <c r="D81" s="4">
        <v>0</v>
      </c>
      <c r="E81" s="1" t="str">
        <f t="shared" si="4"/>
        <v>59572-0503-00</v>
      </c>
      <c r="F81" t="str">
        <f>INDEX(REDBOOKSearchResults!$A$1:$AK$100, MATCH($E81, INDEX(REDBOOKSearchResults!$A$1:$AK$100, 0, MATCH($E$1, REDBOOKSearchResults!$1:$1, 0)), 0), MATCH(F$1, REDBOOKSearchResults!$1:$1, 0))</f>
        <v>3 mg</v>
      </c>
      <c r="G81" t="str">
        <f>INDEX(REDBOOKSearchResults!$A$1:$AK$100, MATCH($E81, INDEX(REDBOOKSearchResults!$A$1:$AK$100, 0, MATCH($E$1, REDBOOKSearchResults!$1:$1, 0)), 0), MATCH(G$1, REDBOOKSearchResults!$1:$1, 0))</f>
        <v>100s ea</v>
      </c>
    </row>
    <row r="82" spans="1:7" x14ac:dyDescent="0.2">
      <c r="A82" t="str">
        <f t="shared" si="5"/>
        <v>POMALYST</v>
      </c>
      <c r="B82" s="3">
        <v>46023</v>
      </c>
      <c r="C82" s="4">
        <v>1431.4114300000001</v>
      </c>
      <c r="D82" s="4">
        <v>4.5</v>
      </c>
      <c r="E82" s="1" t="s">
        <v>61</v>
      </c>
      <c r="F82" t="str">
        <f>INDEX(REDBOOKSearchResults!$A$1:$AK$100, MATCH($E82, INDEX(REDBOOKSearchResults!$A$1:$AK$100, 0, MATCH($E$1, REDBOOKSearchResults!$1:$1, 0)), 0), MATCH(F$1, REDBOOKSearchResults!$1:$1, 0))</f>
        <v>2 mg</v>
      </c>
      <c r="G82" t="str">
        <f>INDEX(REDBOOKSearchResults!$A$1:$AK$100, MATCH($E82, INDEX(REDBOOKSearchResults!$A$1:$AK$100, 0, MATCH($E$1, REDBOOKSearchResults!$1:$1, 0)), 0), MATCH(G$1, REDBOOKSearchResults!$1:$1, 0))</f>
        <v>21s ea</v>
      </c>
    </row>
    <row r="83" spans="1:7" x14ac:dyDescent="0.2">
      <c r="A83" t="str">
        <f t="shared" si="5"/>
        <v>POMALYST</v>
      </c>
      <c r="B83" s="3">
        <v>45658</v>
      </c>
      <c r="C83" s="4">
        <v>1369.77143</v>
      </c>
      <c r="D83" s="4">
        <v>4.5</v>
      </c>
      <c r="E83" s="1" t="str">
        <f>E82</f>
        <v>59572-0502-21</v>
      </c>
      <c r="F83" t="str">
        <f>INDEX(REDBOOKSearchResults!$A$1:$AK$100, MATCH($E83, INDEX(REDBOOKSearchResults!$A$1:$AK$100, 0, MATCH($E$1, REDBOOKSearchResults!$1:$1, 0)), 0), MATCH(F$1, REDBOOKSearchResults!$1:$1, 0))</f>
        <v>2 mg</v>
      </c>
      <c r="G83" t="str">
        <f>INDEX(REDBOOKSearchResults!$A$1:$AK$100, MATCH($E83, INDEX(REDBOOKSearchResults!$A$1:$AK$100, 0, MATCH($E$1, REDBOOKSearchResults!$1:$1, 0)), 0), MATCH(G$1, REDBOOKSearchResults!$1:$1, 0))</f>
        <v>21s ea</v>
      </c>
    </row>
    <row r="84" spans="1:7" x14ac:dyDescent="0.2">
      <c r="A84" t="str">
        <f t="shared" si="5"/>
        <v>POMALYST</v>
      </c>
      <c r="B84" s="3">
        <v>45292</v>
      </c>
      <c r="C84" s="4">
        <v>1310.78619</v>
      </c>
      <c r="D84" s="4">
        <v>6</v>
      </c>
      <c r="E84" s="1" t="str">
        <f t="shared" ref="E84:E101" si="6">E83</f>
        <v>59572-0502-21</v>
      </c>
      <c r="F84" t="str">
        <f>INDEX(REDBOOKSearchResults!$A$1:$AK$100, MATCH($E84, INDEX(REDBOOKSearchResults!$A$1:$AK$100, 0, MATCH($E$1, REDBOOKSearchResults!$1:$1, 0)), 0), MATCH(F$1, REDBOOKSearchResults!$1:$1, 0))</f>
        <v>2 mg</v>
      </c>
      <c r="G84" t="str">
        <f>INDEX(REDBOOKSearchResults!$A$1:$AK$100, MATCH($E84, INDEX(REDBOOKSearchResults!$A$1:$AK$100, 0, MATCH($E$1, REDBOOKSearchResults!$1:$1, 0)), 0), MATCH(G$1, REDBOOKSearchResults!$1:$1, 0))</f>
        <v>21s ea</v>
      </c>
    </row>
    <row r="85" spans="1:7" x14ac:dyDescent="0.2">
      <c r="A85" t="str">
        <f t="shared" si="5"/>
        <v>POMALYST</v>
      </c>
      <c r="B85" s="3">
        <v>45108</v>
      </c>
      <c r="C85" s="4">
        <v>1236.5780999999999</v>
      </c>
      <c r="D85" s="4">
        <v>2.5</v>
      </c>
      <c r="E85" s="1" t="str">
        <f t="shared" si="6"/>
        <v>59572-0502-21</v>
      </c>
      <c r="F85" t="str">
        <f>INDEX(REDBOOKSearchResults!$A$1:$AK$100, MATCH($E85, INDEX(REDBOOKSearchResults!$A$1:$AK$100, 0, MATCH($E$1, REDBOOKSearchResults!$1:$1, 0)), 0), MATCH(F$1, REDBOOKSearchResults!$1:$1, 0))</f>
        <v>2 mg</v>
      </c>
      <c r="G85" t="str">
        <f>INDEX(REDBOOKSearchResults!$A$1:$AK$100, MATCH($E85, INDEX(REDBOOKSearchResults!$A$1:$AK$100, 0, MATCH($E$1, REDBOOKSearchResults!$1:$1, 0)), 0), MATCH(G$1, REDBOOKSearchResults!$1:$1, 0))</f>
        <v>21s ea</v>
      </c>
    </row>
    <row r="86" spans="1:7" x14ac:dyDescent="0.2">
      <c r="A86" t="str">
        <f t="shared" si="5"/>
        <v>POMALYST</v>
      </c>
      <c r="B86" s="3">
        <v>44927</v>
      </c>
      <c r="C86" s="4">
        <v>1206.43048</v>
      </c>
      <c r="D86" s="4">
        <v>6</v>
      </c>
      <c r="E86" s="1" t="str">
        <f t="shared" si="6"/>
        <v>59572-0502-21</v>
      </c>
      <c r="F86" t="str">
        <f>INDEX(REDBOOKSearchResults!$A$1:$AK$100, MATCH($E86, INDEX(REDBOOKSearchResults!$A$1:$AK$100, 0, MATCH($E$1, REDBOOKSearchResults!$1:$1, 0)), 0), MATCH(F$1, REDBOOKSearchResults!$1:$1, 0))</f>
        <v>2 mg</v>
      </c>
      <c r="G86" t="str">
        <f>INDEX(REDBOOKSearchResults!$A$1:$AK$100, MATCH($E86, INDEX(REDBOOKSearchResults!$A$1:$AK$100, 0, MATCH($E$1, REDBOOKSearchResults!$1:$1, 0)), 0), MATCH(G$1, REDBOOKSearchResults!$1:$1, 0))</f>
        <v>21s ea</v>
      </c>
    </row>
    <row r="87" spans="1:7" x14ac:dyDescent="0.2">
      <c r="A87" t="str">
        <f t="shared" si="5"/>
        <v>POMALYST</v>
      </c>
      <c r="B87" s="3">
        <v>44562</v>
      </c>
      <c r="C87" s="4">
        <v>1138.1419000000001</v>
      </c>
      <c r="D87" s="4">
        <v>4.5</v>
      </c>
      <c r="E87" s="1" t="str">
        <f t="shared" si="6"/>
        <v>59572-0502-21</v>
      </c>
      <c r="F87" t="str">
        <f>INDEX(REDBOOKSearchResults!$A$1:$AK$100, MATCH($E87, INDEX(REDBOOKSearchResults!$A$1:$AK$100, 0, MATCH($E$1, REDBOOKSearchResults!$1:$1, 0)), 0), MATCH(F$1, REDBOOKSearchResults!$1:$1, 0))</f>
        <v>2 mg</v>
      </c>
      <c r="G87" t="str">
        <f>INDEX(REDBOOKSearchResults!$A$1:$AK$100, MATCH($E87, INDEX(REDBOOKSearchResults!$A$1:$AK$100, 0, MATCH($E$1, REDBOOKSearchResults!$1:$1, 0)), 0), MATCH(G$1, REDBOOKSearchResults!$1:$1, 0))</f>
        <v>21s ea</v>
      </c>
    </row>
    <row r="88" spans="1:7" x14ac:dyDescent="0.2">
      <c r="A88" t="str">
        <f t="shared" si="5"/>
        <v>POMALYST</v>
      </c>
      <c r="B88" s="3">
        <v>44197</v>
      </c>
      <c r="C88" s="4">
        <v>1089.13095</v>
      </c>
      <c r="D88" s="4">
        <v>4.5</v>
      </c>
      <c r="E88" s="1" t="str">
        <f t="shared" si="6"/>
        <v>59572-0502-21</v>
      </c>
      <c r="F88" t="str">
        <f>INDEX(REDBOOKSearchResults!$A$1:$AK$100, MATCH($E88, INDEX(REDBOOKSearchResults!$A$1:$AK$100, 0, MATCH($E$1, REDBOOKSearchResults!$1:$1, 0)), 0), MATCH(F$1, REDBOOKSearchResults!$1:$1, 0))</f>
        <v>2 mg</v>
      </c>
      <c r="G88" t="str">
        <f>INDEX(REDBOOKSearchResults!$A$1:$AK$100, MATCH($E88, INDEX(REDBOOKSearchResults!$A$1:$AK$100, 0, MATCH($E$1, REDBOOKSearchResults!$1:$1, 0)), 0), MATCH(G$1, REDBOOKSearchResults!$1:$1, 0))</f>
        <v>21s ea</v>
      </c>
    </row>
    <row r="89" spans="1:7" x14ac:dyDescent="0.2">
      <c r="A89" t="str">
        <f t="shared" si="5"/>
        <v>POMALYST</v>
      </c>
      <c r="B89" s="3">
        <v>43831</v>
      </c>
      <c r="C89" s="4">
        <v>1042.2304799999999</v>
      </c>
      <c r="D89" s="4">
        <v>6</v>
      </c>
      <c r="E89" s="1" t="str">
        <f t="shared" si="6"/>
        <v>59572-0502-21</v>
      </c>
      <c r="F89" t="str">
        <f>INDEX(REDBOOKSearchResults!$A$1:$AK$100, MATCH($E89, INDEX(REDBOOKSearchResults!$A$1:$AK$100, 0, MATCH($E$1, REDBOOKSearchResults!$1:$1, 0)), 0), MATCH(F$1, REDBOOKSearchResults!$1:$1, 0))</f>
        <v>2 mg</v>
      </c>
      <c r="G89" t="str">
        <f>INDEX(REDBOOKSearchResults!$A$1:$AK$100, MATCH($E89, INDEX(REDBOOKSearchResults!$A$1:$AK$100, 0, MATCH($E$1, REDBOOKSearchResults!$1:$1, 0)), 0), MATCH(G$1, REDBOOKSearchResults!$1:$1, 0))</f>
        <v>21s ea</v>
      </c>
    </row>
    <row r="90" spans="1:7" x14ac:dyDescent="0.2">
      <c r="A90" t="str">
        <f t="shared" si="5"/>
        <v>POMALYST</v>
      </c>
      <c r="B90" s="3">
        <v>43468</v>
      </c>
      <c r="C90" s="4">
        <v>983.23618999999997</v>
      </c>
      <c r="D90" s="4">
        <v>3.5</v>
      </c>
      <c r="E90" s="1" t="str">
        <f t="shared" si="6"/>
        <v>59572-0502-21</v>
      </c>
      <c r="F90" t="str">
        <f>INDEX(REDBOOKSearchResults!$A$1:$AK$100, MATCH($E90, INDEX(REDBOOKSearchResults!$A$1:$AK$100, 0, MATCH($E$1, REDBOOKSearchResults!$1:$1, 0)), 0), MATCH(F$1, REDBOOKSearchResults!$1:$1, 0))</f>
        <v>2 mg</v>
      </c>
      <c r="G90" t="str">
        <f>INDEX(REDBOOKSearchResults!$A$1:$AK$100, MATCH($E90, INDEX(REDBOOKSearchResults!$A$1:$AK$100, 0, MATCH($E$1, REDBOOKSearchResults!$1:$1, 0)), 0), MATCH(G$1, REDBOOKSearchResults!$1:$1, 0))</f>
        <v>21s ea</v>
      </c>
    </row>
    <row r="91" spans="1:7" x14ac:dyDescent="0.2">
      <c r="A91" t="str">
        <f t="shared" si="5"/>
        <v>POMALYST</v>
      </c>
      <c r="B91" s="3">
        <v>43291</v>
      </c>
      <c r="C91" s="4">
        <v>949.98618999999997</v>
      </c>
      <c r="D91" s="4">
        <v>5</v>
      </c>
      <c r="E91" s="1" t="str">
        <f t="shared" si="6"/>
        <v>59572-0502-21</v>
      </c>
      <c r="F91" t="str">
        <f>INDEX(REDBOOKSearchResults!$A$1:$AK$100, MATCH($E91, INDEX(REDBOOKSearchResults!$A$1:$AK$100, 0, MATCH($E$1, REDBOOKSearchResults!$1:$1, 0)), 0), MATCH(F$1, REDBOOKSearchResults!$1:$1, 0))</f>
        <v>2 mg</v>
      </c>
      <c r="G91" t="str">
        <f>INDEX(REDBOOKSearchResults!$A$1:$AK$100, MATCH($E91, INDEX(REDBOOKSearchResults!$A$1:$AK$100, 0, MATCH($E$1, REDBOOKSearchResults!$1:$1, 0)), 0), MATCH(G$1, REDBOOKSearchResults!$1:$1, 0))</f>
        <v>21s ea</v>
      </c>
    </row>
    <row r="92" spans="1:7" x14ac:dyDescent="0.2">
      <c r="A92" t="str">
        <f t="shared" si="5"/>
        <v>POMALYST</v>
      </c>
      <c r="B92" s="3">
        <v>43028</v>
      </c>
      <c r="C92" s="4">
        <v>904.74856999999997</v>
      </c>
      <c r="D92" s="4">
        <v>9</v>
      </c>
      <c r="E92" s="1" t="str">
        <f t="shared" si="6"/>
        <v>59572-0502-21</v>
      </c>
      <c r="F92" t="str">
        <f>INDEX(REDBOOKSearchResults!$A$1:$AK$100, MATCH($E92, INDEX(REDBOOKSearchResults!$A$1:$AK$100, 0, MATCH($E$1, REDBOOKSearchResults!$1:$1, 0)), 0), MATCH(F$1, REDBOOKSearchResults!$1:$1, 0))</f>
        <v>2 mg</v>
      </c>
      <c r="G92" t="str">
        <f>INDEX(REDBOOKSearchResults!$A$1:$AK$100, MATCH($E92, INDEX(REDBOOKSearchResults!$A$1:$AK$100, 0, MATCH($E$1, REDBOOKSearchResults!$1:$1, 0)), 0), MATCH(G$1, REDBOOKSearchResults!$1:$1, 0))</f>
        <v>21s ea</v>
      </c>
    </row>
    <row r="93" spans="1:7" x14ac:dyDescent="0.2">
      <c r="A93" t="str">
        <f t="shared" si="5"/>
        <v>POMALYST</v>
      </c>
      <c r="B93" s="3">
        <v>42830</v>
      </c>
      <c r="C93" s="4">
        <v>830.04476</v>
      </c>
      <c r="D93" s="4">
        <v>8</v>
      </c>
      <c r="E93" s="1" t="str">
        <f t="shared" si="6"/>
        <v>59572-0502-21</v>
      </c>
      <c r="F93" t="str">
        <f>INDEX(REDBOOKSearchResults!$A$1:$AK$100, MATCH($E93, INDEX(REDBOOKSearchResults!$A$1:$AK$100, 0, MATCH($E$1, REDBOOKSearchResults!$1:$1, 0)), 0), MATCH(F$1, REDBOOKSearchResults!$1:$1, 0))</f>
        <v>2 mg</v>
      </c>
      <c r="G93" t="str">
        <f>INDEX(REDBOOKSearchResults!$A$1:$AK$100, MATCH($E93, INDEX(REDBOOKSearchResults!$A$1:$AK$100, 0, MATCH($E$1, REDBOOKSearchResults!$1:$1, 0)), 0), MATCH(G$1, REDBOOKSearchResults!$1:$1, 0))</f>
        <v>21s ea</v>
      </c>
    </row>
    <row r="94" spans="1:7" x14ac:dyDescent="0.2">
      <c r="A94" t="str">
        <f t="shared" si="5"/>
        <v>POMALYST</v>
      </c>
      <c r="B94" s="3">
        <v>42602</v>
      </c>
      <c r="C94" s="4">
        <v>768.56</v>
      </c>
      <c r="D94" s="4">
        <v>3</v>
      </c>
      <c r="E94" s="1" t="str">
        <f t="shared" si="6"/>
        <v>59572-0502-21</v>
      </c>
      <c r="F94" t="str">
        <f>INDEX(REDBOOKSearchResults!$A$1:$AK$100, MATCH($E94, INDEX(REDBOOKSearchResults!$A$1:$AK$100, 0, MATCH($E$1, REDBOOKSearchResults!$1:$1, 0)), 0), MATCH(F$1, REDBOOKSearchResults!$1:$1, 0))</f>
        <v>2 mg</v>
      </c>
      <c r="G94" t="str">
        <f>INDEX(REDBOOKSearchResults!$A$1:$AK$100, MATCH($E94, INDEX(REDBOOKSearchResults!$A$1:$AK$100, 0, MATCH($E$1, REDBOOKSearchResults!$1:$1, 0)), 0), MATCH(G$1, REDBOOKSearchResults!$1:$1, 0))</f>
        <v>21s ea</v>
      </c>
    </row>
    <row r="95" spans="1:7" x14ac:dyDescent="0.2">
      <c r="A95" t="str">
        <f t="shared" si="5"/>
        <v>POMALYST</v>
      </c>
      <c r="B95" s="3">
        <v>42439</v>
      </c>
      <c r="C95" s="4">
        <v>746.17475999999999</v>
      </c>
      <c r="D95" s="4">
        <v>6.8</v>
      </c>
      <c r="E95" s="1" t="str">
        <f t="shared" si="6"/>
        <v>59572-0502-21</v>
      </c>
      <c r="F95" t="str">
        <f>INDEX(REDBOOKSearchResults!$A$1:$AK$100, MATCH($E95, INDEX(REDBOOKSearchResults!$A$1:$AK$100, 0, MATCH($E$1, REDBOOKSearchResults!$1:$1, 0)), 0), MATCH(F$1, REDBOOKSearchResults!$1:$1, 0))</f>
        <v>2 mg</v>
      </c>
      <c r="G95" t="str">
        <f>INDEX(REDBOOKSearchResults!$A$1:$AK$100, MATCH($E95, INDEX(REDBOOKSearchResults!$A$1:$AK$100, 0, MATCH($E$1, REDBOOKSearchResults!$1:$1, 0)), 0), MATCH(G$1, REDBOOKSearchResults!$1:$1, 0))</f>
        <v>21s ea</v>
      </c>
    </row>
    <row r="96" spans="1:7" x14ac:dyDescent="0.2">
      <c r="A96" t="str">
        <f t="shared" si="5"/>
        <v>POMALYST</v>
      </c>
      <c r="B96" s="3">
        <v>42279</v>
      </c>
      <c r="C96" s="4">
        <v>698.66570999999999</v>
      </c>
      <c r="D96" s="4">
        <v>4</v>
      </c>
      <c r="E96" s="1" t="str">
        <f t="shared" si="6"/>
        <v>59572-0502-21</v>
      </c>
      <c r="F96" t="str">
        <f>INDEX(REDBOOKSearchResults!$A$1:$AK$100, MATCH($E96, INDEX(REDBOOKSearchResults!$A$1:$AK$100, 0, MATCH($E$1, REDBOOKSearchResults!$1:$1, 0)), 0), MATCH(F$1, REDBOOKSearchResults!$1:$1, 0))</f>
        <v>2 mg</v>
      </c>
      <c r="G96" t="str">
        <f>INDEX(REDBOOKSearchResults!$A$1:$AK$100, MATCH($E96, INDEX(REDBOOKSearchResults!$A$1:$AK$100, 0, MATCH($E$1, REDBOOKSearchResults!$1:$1, 0)), 0), MATCH(G$1, REDBOOKSearchResults!$1:$1, 0))</f>
        <v>21s ea</v>
      </c>
    </row>
    <row r="97" spans="1:7" x14ac:dyDescent="0.2">
      <c r="A97" t="str">
        <f t="shared" si="5"/>
        <v>POMALYST</v>
      </c>
      <c r="B97" s="3">
        <v>42180</v>
      </c>
      <c r="C97" s="4">
        <v>671.79381000000001</v>
      </c>
      <c r="D97" s="4">
        <v>3</v>
      </c>
      <c r="E97" s="1" t="str">
        <f t="shared" si="6"/>
        <v>59572-0502-21</v>
      </c>
      <c r="F97" t="str">
        <f>INDEX(REDBOOKSearchResults!$A$1:$AK$100, MATCH($E97, INDEX(REDBOOKSearchResults!$A$1:$AK$100, 0, MATCH($E$1, REDBOOKSearchResults!$1:$1, 0)), 0), MATCH(F$1, REDBOOKSearchResults!$1:$1, 0))</f>
        <v>2 mg</v>
      </c>
      <c r="G97" t="str">
        <f>INDEX(REDBOOKSearchResults!$A$1:$AK$100, MATCH($E97, INDEX(REDBOOKSearchResults!$A$1:$AK$100, 0, MATCH($E$1, REDBOOKSearchResults!$1:$1, 0)), 0), MATCH(G$1, REDBOOKSearchResults!$1:$1, 0))</f>
        <v>21s ea</v>
      </c>
    </row>
    <row r="98" spans="1:7" x14ac:dyDescent="0.2">
      <c r="A98" t="str">
        <f t="shared" si="5"/>
        <v>POMALYST</v>
      </c>
      <c r="B98" s="3">
        <v>41996</v>
      </c>
      <c r="C98" s="4">
        <v>652.22667000000001</v>
      </c>
      <c r="D98" s="4">
        <v>3</v>
      </c>
      <c r="E98" s="1" t="str">
        <f t="shared" si="6"/>
        <v>59572-0502-21</v>
      </c>
      <c r="F98" t="str">
        <f>INDEX(REDBOOKSearchResults!$A$1:$AK$100, MATCH($E98, INDEX(REDBOOKSearchResults!$A$1:$AK$100, 0, MATCH($E$1, REDBOOKSearchResults!$1:$1, 0)), 0), MATCH(F$1, REDBOOKSearchResults!$1:$1, 0))</f>
        <v>2 mg</v>
      </c>
      <c r="G98" t="str">
        <f>INDEX(REDBOOKSearchResults!$A$1:$AK$100, MATCH($E98, INDEX(REDBOOKSearchResults!$A$1:$AK$100, 0, MATCH($E$1, REDBOOKSearchResults!$1:$1, 0)), 0), MATCH(G$1, REDBOOKSearchResults!$1:$1, 0))</f>
        <v>21s ea</v>
      </c>
    </row>
    <row r="99" spans="1:7" x14ac:dyDescent="0.2">
      <c r="A99" t="str">
        <f t="shared" si="5"/>
        <v>POMALYST</v>
      </c>
      <c r="B99" s="3">
        <v>41830</v>
      </c>
      <c r="C99" s="4">
        <v>633.22951999999998</v>
      </c>
      <c r="D99" s="4">
        <v>3</v>
      </c>
      <c r="E99" s="1" t="str">
        <f t="shared" si="6"/>
        <v>59572-0502-21</v>
      </c>
      <c r="F99" t="str">
        <f>INDEX(REDBOOKSearchResults!$A$1:$AK$100, MATCH($E99, INDEX(REDBOOKSearchResults!$A$1:$AK$100, 0, MATCH($E$1, REDBOOKSearchResults!$1:$1, 0)), 0), MATCH(F$1, REDBOOKSearchResults!$1:$1, 0))</f>
        <v>2 mg</v>
      </c>
      <c r="G99" t="str">
        <f>INDEX(REDBOOKSearchResults!$A$1:$AK$100, MATCH($E99, INDEX(REDBOOKSearchResults!$A$1:$AK$100, 0, MATCH($E$1, REDBOOKSearchResults!$1:$1, 0)), 0), MATCH(G$1, REDBOOKSearchResults!$1:$1, 0))</f>
        <v>21s ea</v>
      </c>
    </row>
    <row r="100" spans="1:7" x14ac:dyDescent="0.2">
      <c r="A100" t="str">
        <f t="shared" si="5"/>
        <v>POMALYST</v>
      </c>
      <c r="B100" s="3">
        <v>41650</v>
      </c>
      <c r="C100" s="4">
        <v>614.78619000000003</v>
      </c>
      <c r="D100" s="4">
        <v>3</v>
      </c>
      <c r="E100" s="1" t="str">
        <f t="shared" si="6"/>
        <v>59572-0502-21</v>
      </c>
      <c r="F100" t="str">
        <f>INDEX(REDBOOKSearchResults!$A$1:$AK$100, MATCH($E100, INDEX(REDBOOKSearchResults!$A$1:$AK$100, 0, MATCH($E$1, REDBOOKSearchResults!$1:$1, 0)), 0), MATCH(F$1, REDBOOKSearchResults!$1:$1, 0))</f>
        <v>2 mg</v>
      </c>
      <c r="G100" t="str">
        <f>INDEX(REDBOOKSearchResults!$A$1:$AK$100, MATCH($E100, INDEX(REDBOOKSearchResults!$A$1:$AK$100, 0, MATCH($E$1, REDBOOKSearchResults!$1:$1, 0)), 0), MATCH(G$1, REDBOOKSearchResults!$1:$1, 0))</f>
        <v>21s ea</v>
      </c>
    </row>
    <row r="101" spans="1:7" x14ac:dyDescent="0.2">
      <c r="A101" t="str">
        <f t="shared" si="5"/>
        <v>POMALYST</v>
      </c>
      <c r="B101" s="3">
        <v>41316</v>
      </c>
      <c r="C101" s="4">
        <v>596.88</v>
      </c>
      <c r="D101" s="4">
        <v>0</v>
      </c>
      <c r="E101" s="1" t="str">
        <f t="shared" si="6"/>
        <v>59572-0502-21</v>
      </c>
      <c r="F101" t="str">
        <f>INDEX(REDBOOKSearchResults!$A$1:$AK$100, MATCH($E101, INDEX(REDBOOKSearchResults!$A$1:$AK$100, 0, MATCH($E$1, REDBOOKSearchResults!$1:$1, 0)), 0), MATCH(F$1, REDBOOKSearchResults!$1:$1, 0))</f>
        <v>2 mg</v>
      </c>
      <c r="G101" t="str">
        <f>INDEX(REDBOOKSearchResults!$A$1:$AK$100, MATCH($E101, INDEX(REDBOOKSearchResults!$A$1:$AK$100, 0, MATCH($E$1, REDBOOKSearchResults!$1:$1, 0)), 0), MATCH(G$1, REDBOOKSearchResults!$1:$1, 0))</f>
        <v>21s ea</v>
      </c>
    </row>
    <row r="102" spans="1:7" x14ac:dyDescent="0.2">
      <c r="A102" t="str">
        <f t="shared" si="5"/>
        <v>POMALYST</v>
      </c>
      <c r="B102" s="3">
        <v>46023</v>
      </c>
      <c r="C102" s="4">
        <v>1431.4110000000001</v>
      </c>
      <c r="D102" s="4">
        <v>4.5</v>
      </c>
      <c r="E102" s="1" t="s">
        <v>63</v>
      </c>
      <c r="F102" t="str">
        <f>INDEX(REDBOOKSearchResults!$A$1:$AK$100, MATCH($E102, INDEX(REDBOOKSearchResults!$A$1:$AK$100, 0, MATCH($E$1, REDBOOKSearchResults!$1:$1, 0)), 0), MATCH(F$1, REDBOOKSearchResults!$1:$1, 0))</f>
        <v>2 mg</v>
      </c>
      <c r="G102" t="str">
        <f>INDEX(REDBOOKSearchResults!$A$1:$AK$100, MATCH($E102, INDEX(REDBOOKSearchResults!$A$1:$AK$100, 0, MATCH($E$1, REDBOOKSearchResults!$1:$1, 0)), 0), MATCH(G$1, REDBOOKSearchResults!$1:$1, 0))</f>
        <v>100s ea</v>
      </c>
    </row>
    <row r="103" spans="1:7" x14ac:dyDescent="0.2">
      <c r="A103" t="str">
        <f t="shared" si="5"/>
        <v>POMALYST</v>
      </c>
      <c r="B103" s="3">
        <v>45658</v>
      </c>
      <c r="C103" s="4">
        <v>1369.7713000000001</v>
      </c>
      <c r="D103" s="4">
        <v>4.5</v>
      </c>
      <c r="E103" s="1" t="str">
        <f>E102</f>
        <v>59572-0502-00</v>
      </c>
      <c r="F103" t="str">
        <f>INDEX(REDBOOKSearchResults!$A$1:$AK$100, MATCH($E103, INDEX(REDBOOKSearchResults!$A$1:$AK$100, 0, MATCH($E$1, REDBOOKSearchResults!$1:$1, 0)), 0), MATCH(F$1, REDBOOKSearchResults!$1:$1, 0))</f>
        <v>2 mg</v>
      </c>
      <c r="G103" t="str">
        <f>INDEX(REDBOOKSearchResults!$A$1:$AK$100, MATCH($E103, INDEX(REDBOOKSearchResults!$A$1:$AK$100, 0, MATCH($E$1, REDBOOKSearchResults!$1:$1, 0)), 0), MATCH(G$1, REDBOOKSearchResults!$1:$1, 0))</f>
        <v>100s ea</v>
      </c>
    </row>
    <row r="104" spans="1:7" x14ac:dyDescent="0.2">
      <c r="A104" t="str">
        <f t="shared" si="5"/>
        <v>POMALYST</v>
      </c>
      <c r="B104" s="3">
        <v>45292</v>
      </c>
      <c r="C104" s="4">
        <v>1310.7859000000001</v>
      </c>
      <c r="D104" s="4">
        <v>6</v>
      </c>
      <c r="E104" s="1" t="str">
        <f t="shared" ref="E104:E121" si="7">E103</f>
        <v>59572-0502-00</v>
      </c>
      <c r="F104" t="str">
        <f>INDEX(REDBOOKSearchResults!$A$1:$AK$100, MATCH($E104, INDEX(REDBOOKSearchResults!$A$1:$AK$100, 0, MATCH($E$1, REDBOOKSearchResults!$1:$1, 0)), 0), MATCH(F$1, REDBOOKSearchResults!$1:$1, 0))</f>
        <v>2 mg</v>
      </c>
      <c r="G104" t="str">
        <f>INDEX(REDBOOKSearchResults!$A$1:$AK$100, MATCH($E104, INDEX(REDBOOKSearchResults!$A$1:$AK$100, 0, MATCH($E$1, REDBOOKSearchResults!$1:$1, 0)), 0), MATCH(G$1, REDBOOKSearchResults!$1:$1, 0))</f>
        <v>100s ea</v>
      </c>
    </row>
    <row r="105" spans="1:7" x14ac:dyDescent="0.2">
      <c r="A105" t="str">
        <f t="shared" si="5"/>
        <v>POMALYST</v>
      </c>
      <c r="B105" s="3">
        <v>45108</v>
      </c>
      <c r="C105" s="4">
        <v>1236.5905</v>
      </c>
      <c r="D105" s="4">
        <v>2.5</v>
      </c>
      <c r="E105" s="1" t="str">
        <f t="shared" si="7"/>
        <v>59572-0502-00</v>
      </c>
      <c r="F105" t="str">
        <f>INDEX(REDBOOKSearchResults!$A$1:$AK$100, MATCH($E105, INDEX(REDBOOKSearchResults!$A$1:$AK$100, 0, MATCH($E$1, REDBOOKSearchResults!$1:$1, 0)), 0), MATCH(F$1, REDBOOKSearchResults!$1:$1, 0))</f>
        <v>2 mg</v>
      </c>
      <c r="G105" t="str">
        <f>INDEX(REDBOOKSearchResults!$A$1:$AK$100, MATCH($E105, INDEX(REDBOOKSearchResults!$A$1:$AK$100, 0, MATCH($E$1, REDBOOKSearchResults!$1:$1, 0)), 0), MATCH(G$1, REDBOOKSearchResults!$1:$1, 0))</f>
        <v>100s ea</v>
      </c>
    </row>
    <row r="106" spans="1:7" x14ac:dyDescent="0.2">
      <c r="A106" t="str">
        <f t="shared" si="5"/>
        <v>POMALYST</v>
      </c>
      <c r="B106" s="3">
        <v>44927</v>
      </c>
      <c r="C106" s="4">
        <v>1206.4297999999999</v>
      </c>
      <c r="D106" s="4">
        <v>6</v>
      </c>
      <c r="E106" s="1" t="str">
        <f t="shared" si="7"/>
        <v>59572-0502-00</v>
      </c>
      <c r="F106" t="str">
        <f>INDEX(REDBOOKSearchResults!$A$1:$AK$100, MATCH($E106, INDEX(REDBOOKSearchResults!$A$1:$AK$100, 0, MATCH($E$1, REDBOOKSearchResults!$1:$1, 0)), 0), MATCH(F$1, REDBOOKSearchResults!$1:$1, 0))</f>
        <v>2 mg</v>
      </c>
      <c r="G106" t="str">
        <f>INDEX(REDBOOKSearchResults!$A$1:$AK$100, MATCH($E106, INDEX(REDBOOKSearchResults!$A$1:$AK$100, 0, MATCH($E$1, REDBOOKSearchResults!$1:$1, 0)), 0), MATCH(G$1, REDBOOKSearchResults!$1:$1, 0))</f>
        <v>100s ea</v>
      </c>
    </row>
    <row r="107" spans="1:7" x14ac:dyDescent="0.2">
      <c r="A107" t="str">
        <f t="shared" si="5"/>
        <v>POMALYST</v>
      </c>
      <c r="B107" s="3">
        <v>44562</v>
      </c>
      <c r="C107" s="4">
        <v>1138.1412</v>
      </c>
      <c r="D107" s="4">
        <v>4.5</v>
      </c>
      <c r="E107" s="1" t="str">
        <f t="shared" si="7"/>
        <v>59572-0502-00</v>
      </c>
      <c r="F107" t="str">
        <f>INDEX(REDBOOKSearchResults!$A$1:$AK$100, MATCH($E107, INDEX(REDBOOKSearchResults!$A$1:$AK$100, 0, MATCH($E$1, REDBOOKSearchResults!$1:$1, 0)), 0), MATCH(F$1, REDBOOKSearchResults!$1:$1, 0))</f>
        <v>2 mg</v>
      </c>
      <c r="G107" t="str">
        <f>INDEX(REDBOOKSearchResults!$A$1:$AK$100, MATCH($E107, INDEX(REDBOOKSearchResults!$A$1:$AK$100, 0, MATCH($E$1, REDBOOKSearchResults!$1:$1, 0)), 0), MATCH(G$1, REDBOOKSearchResults!$1:$1, 0))</f>
        <v>100s ea</v>
      </c>
    </row>
    <row r="108" spans="1:7" x14ac:dyDescent="0.2">
      <c r="A108" t="str">
        <f t="shared" si="5"/>
        <v>POMALYST</v>
      </c>
      <c r="B108" s="3">
        <v>44197</v>
      </c>
      <c r="C108" s="4">
        <v>1089.1303</v>
      </c>
      <c r="D108" s="4">
        <v>4.5</v>
      </c>
      <c r="E108" s="1" t="str">
        <f t="shared" si="7"/>
        <v>59572-0502-00</v>
      </c>
      <c r="F108" t="str">
        <f>INDEX(REDBOOKSearchResults!$A$1:$AK$100, MATCH($E108, INDEX(REDBOOKSearchResults!$A$1:$AK$100, 0, MATCH($E$1, REDBOOKSearchResults!$1:$1, 0)), 0), MATCH(F$1, REDBOOKSearchResults!$1:$1, 0))</f>
        <v>2 mg</v>
      </c>
      <c r="G108" t="str">
        <f>INDEX(REDBOOKSearchResults!$A$1:$AK$100, MATCH($E108, INDEX(REDBOOKSearchResults!$A$1:$AK$100, 0, MATCH($E$1, REDBOOKSearchResults!$1:$1, 0)), 0), MATCH(G$1, REDBOOKSearchResults!$1:$1, 0))</f>
        <v>100s ea</v>
      </c>
    </row>
    <row r="109" spans="1:7" x14ac:dyDescent="0.2">
      <c r="A109" t="str">
        <f t="shared" si="5"/>
        <v>POMALYST</v>
      </c>
      <c r="B109" s="3">
        <v>43831</v>
      </c>
      <c r="C109" s="4">
        <v>1042.23</v>
      </c>
      <c r="D109" s="4">
        <v>6</v>
      </c>
      <c r="E109" s="1" t="str">
        <f t="shared" si="7"/>
        <v>59572-0502-00</v>
      </c>
      <c r="F109" t="str">
        <f>INDEX(REDBOOKSearchResults!$A$1:$AK$100, MATCH($E109, INDEX(REDBOOKSearchResults!$A$1:$AK$100, 0, MATCH($E$1, REDBOOKSearchResults!$1:$1, 0)), 0), MATCH(F$1, REDBOOKSearchResults!$1:$1, 0))</f>
        <v>2 mg</v>
      </c>
      <c r="G109" t="str">
        <f>INDEX(REDBOOKSearchResults!$A$1:$AK$100, MATCH($E109, INDEX(REDBOOKSearchResults!$A$1:$AK$100, 0, MATCH($E$1, REDBOOKSearchResults!$1:$1, 0)), 0), MATCH(G$1, REDBOOKSearchResults!$1:$1, 0))</f>
        <v>100s ea</v>
      </c>
    </row>
    <row r="110" spans="1:7" x14ac:dyDescent="0.2">
      <c r="A110" t="str">
        <f t="shared" si="5"/>
        <v>POMALYST</v>
      </c>
      <c r="B110" s="3">
        <v>43468</v>
      </c>
      <c r="C110" s="4">
        <v>983.23590000000002</v>
      </c>
      <c r="D110" s="4">
        <v>3.5</v>
      </c>
      <c r="E110" s="1" t="str">
        <f t="shared" si="7"/>
        <v>59572-0502-00</v>
      </c>
      <c r="F110" t="str">
        <f>INDEX(REDBOOKSearchResults!$A$1:$AK$100, MATCH($E110, INDEX(REDBOOKSearchResults!$A$1:$AK$100, 0, MATCH($E$1, REDBOOKSearchResults!$1:$1, 0)), 0), MATCH(F$1, REDBOOKSearchResults!$1:$1, 0))</f>
        <v>2 mg</v>
      </c>
      <c r="G110" t="str">
        <f>INDEX(REDBOOKSearchResults!$A$1:$AK$100, MATCH($E110, INDEX(REDBOOKSearchResults!$A$1:$AK$100, 0, MATCH($E$1, REDBOOKSearchResults!$1:$1, 0)), 0), MATCH(G$1, REDBOOKSearchResults!$1:$1, 0))</f>
        <v>100s ea</v>
      </c>
    </row>
    <row r="111" spans="1:7" x14ac:dyDescent="0.2">
      <c r="A111" t="str">
        <f t="shared" si="5"/>
        <v>POMALYST</v>
      </c>
      <c r="B111" s="3">
        <v>43291</v>
      </c>
      <c r="C111" s="4">
        <v>949.9864</v>
      </c>
      <c r="D111" s="4">
        <v>5</v>
      </c>
      <c r="E111" s="1" t="str">
        <f t="shared" si="7"/>
        <v>59572-0502-00</v>
      </c>
      <c r="F111" t="str">
        <f>INDEX(REDBOOKSearchResults!$A$1:$AK$100, MATCH($E111, INDEX(REDBOOKSearchResults!$A$1:$AK$100, 0, MATCH($E$1, REDBOOKSearchResults!$1:$1, 0)), 0), MATCH(F$1, REDBOOKSearchResults!$1:$1, 0))</f>
        <v>2 mg</v>
      </c>
      <c r="G111" t="str">
        <f>INDEX(REDBOOKSearchResults!$A$1:$AK$100, MATCH($E111, INDEX(REDBOOKSearchResults!$A$1:$AK$100, 0, MATCH($E$1, REDBOOKSearchResults!$1:$1, 0)), 0), MATCH(G$1, REDBOOKSearchResults!$1:$1, 0))</f>
        <v>100s ea</v>
      </c>
    </row>
    <row r="112" spans="1:7" x14ac:dyDescent="0.2">
      <c r="A112" t="str">
        <f t="shared" si="5"/>
        <v>POMALYST</v>
      </c>
      <c r="B112" s="3">
        <v>43028</v>
      </c>
      <c r="C112" s="4">
        <v>904.74890000000005</v>
      </c>
      <c r="D112" s="4">
        <v>9</v>
      </c>
      <c r="E112" s="1" t="str">
        <f t="shared" si="7"/>
        <v>59572-0502-00</v>
      </c>
      <c r="F112" t="str">
        <f>INDEX(REDBOOKSearchResults!$A$1:$AK$100, MATCH($E112, INDEX(REDBOOKSearchResults!$A$1:$AK$100, 0, MATCH($E$1, REDBOOKSearchResults!$1:$1, 0)), 0), MATCH(F$1, REDBOOKSearchResults!$1:$1, 0))</f>
        <v>2 mg</v>
      </c>
      <c r="G112" t="str">
        <f>INDEX(REDBOOKSearchResults!$A$1:$AK$100, MATCH($E112, INDEX(REDBOOKSearchResults!$A$1:$AK$100, 0, MATCH($E$1, REDBOOKSearchResults!$1:$1, 0)), 0), MATCH(G$1, REDBOOKSearchResults!$1:$1, 0))</f>
        <v>100s ea</v>
      </c>
    </row>
    <row r="113" spans="1:7" x14ac:dyDescent="0.2">
      <c r="A113" t="str">
        <f t="shared" si="5"/>
        <v>POMALYST</v>
      </c>
      <c r="B113" s="3">
        <v>42830</v>
      </c>
      <c r="C113" s="4">
        <v>830.04480000000001</v>
      </c>
      <c r="D113" s="4">
        <v>8</v>
      </c>
      <c r="E113" s="1" t="str">
        <f t="shared" si="7"/>
        <v>59572-0502-00</v>
      </c>
      <c r="F113" t="str">
        <f>INDEX(REDBOOKSearchResults!$A$1:$AK$100, MATCH($E113, INDEX(REDBOOKSearchResults!$A$1:$AK$100, 0, MATCH($E$1, REDBOOKSearchResults!$1:$1, 0)), 0), MATCH(F$1, REDBOOKSearchResults!$1:$1, 0))</f>
        <v>2 mg</v>
      </c>
      <c r="G113" t="str">
        <f>INDEX(REDBOOKSearchResults!$A$1:$AK$100, MATCH($E113, INDEX(REDBOOKSearchResults!$A$1:$AK$100, 0, MATCH($E$1, REDBOOKSearchResults!$1:$1, 0)), 0), MATCH(G$1, REDBOOKSearchResults!$1:$1, 0))</f>
        <v>100s ea</v>
      </c>
    </row>
    <row r="114" spans="1:7" x14ac:dyDescent="0.2">
      <c r="A114" t="str">
        <f t="shared" si="5"/>
        <v>POMALYST</v>
      </c>
      <c r="B114" s="3">
        <v>42602</v>
      </c>
      <c r="C114" s="4">
        <v>768.56010000000003</v>
      </c>
      <c r="D114" s="4">
        <v>3</v>
      </c>
      <c r="E114" s="1" t="str">
        <f t="shared" si="7"/>
        <v>59572-0502-00</v>
      </c>
      <c r="F114" t="str">
        <f>INDEX(REDBOOKSearchResults!$A$1:$AK$100, MATCH($E114, INDEX(REDBOOKSearchResults!$A$1:$AK$100, 0, MATCH($E$1, REDBOOKSearchResults!$1:$1, 0)), 0), MATCH(F$1, REDBOOKSearchResults!$1:$1, 0))</f>
        <v>2 mg</v>
      </c>
      <c r="G114" t="str">
        <f>INDEX(REDBOOKSearchResults!$A$1:$AK$100, MATCH($E114, INDEX(REDBOOKSearchResults!$A$1:$AK$100, 0, MATCH($E$1, REDBOOKSearchResults!$1:$1, 0)), 0), MATCH(G$1, REDBOOKSearchResults!$1:$1, 0))</f>
        <v>100s ea</v>
      </c>
    </row>
    <row r="115" spans="1:7" x14ac:dyDescent="0.2">
      <c r="A115" t="str">
        <f t="shared" si="5"/>
        <v>POMALYST</v>
      </c>
      <c r="B115" s="3">
        <v>42439</v>
      </c>
      <c r="C115" s="4">
        <v>746.1748</v>
      </c>
      <c r="D115" s="4">
        <v>6.8</v>
      </c>
      <c r="E115" s="1" t="str">
        <f t="shared" si="7"/>
        <v>59572-0502-00</v>
      </c>
      <c r="F115" t="str">
        <f>INDEX(REDBOOKSearchResults!$A$1:$AK$100, MATCH($E115, INDEX(REDBOOKSearchResults!$A$1:$AK$100, 0, MATCH($E$1, REDBOOKSearchResults!$1:$1, 0)), 0), MATCH(F$1, REDBOOKSearchResults!$1:$1, 0))</f>
        <v>2 mg</v>
      </c>
      <c r="G115" t="str">
        <f>INDEX(REDBOOKSearchResults!$A$1:$AK$100, MATCH($E115, INDEX(REDBOOKSearchResults!$A$1:$AK$100, 0, MATCH($E$1, REDBOOKSearchResults!$1:$1, 0)), 0), MATCH(G$1, REDBOOKSearchResults!$1:$1, 0))</f>
        <v>100s ea</v>
      </c>
    </row>
    <row r="116" spans="1:7" x14ac:dyDescent="0.2">
      <c r="A116" t="str">
        <f t="shared" si="5"/>
        <v>POMALYST</v>
      </c>
      <c r="B116" s="3">
        <v>42279</v>
      </c>
      <c r="C116" s="4">
        <v>698.66549999999995</v>
      </c>
      <c r="D116" s="4">
        <v>4</v>
      </c>
      <c r="E116" s="1" t="str">
        <f t="shared" si="7"/>
        <v>59572-0502-00</v>
      </c>
      <c r="F116" t="str">
        <f>INDEX(REDBOOKSearchResults!$A$1:$AK$100, MATCH($E116, INDEX(REDBOOKSearchResults!$A$1:$AK$100, 0, MATCH($E$1, REDBOOKSearchResults!$1:$1, 0)), 0), MATCH(F$1, REDBOOKSearchResults!$1:$1, 0))</f>
        <v>2 mg</v>
      </c>
      <c r="G116" t="str">
        <f>INDEX(REDBOOKSearchResults!$A$1:$AK$100, MATCH($E116, INDEX(REDBOOKSearchResults!$A$1:$AK$100, 0, MATCH($E$1, REDBOOKSearchResults!$1:$1, 0)), 0), MATCH(G$1, REDBOOKSearchResults!$1:$1, 0))</f>
        <v>100s ea</v>
      </c>
    </row>
    <row r="117" spans="1:7" x14ac:dyDescent="0.2">
      <c r="A117" t="str">
        <f t="shared" si="5"/>
        <v>POMALYST</v>
      </c>
      <c r="B117" s="3">
        <v>42180</v>
      </c>
      <c r="C117" s="4">
        <v>671.79380000000003</v>
      </c>
      <c r="D117" s="4">
        <v>3</v>
      </c>
      <c r="E117" s="1" t="str">
        <f t="shared" si="7"/>
        <v>59572-0502-00</v>
      </c>
      <c r="F117" t="str">
        <f>INDEX(REDBOOKSearchResults!$A$1:$AK$100, MATCH($E117, INDEX(REDBOOKSearchResults!$A$1:$AK$100, 0, MATCH($E$1, REDBOOKSearchResults!$1:$1, 0)), 0), MATCH(F$1, REDBOOKSearchResults!$1:$1, 0))</f>
        <v>2 mg</v>
      </c>
      <c r="G117" t="str">
        <f>INDEX(REDBOOKSearchResults!$A$1:$AK$100, MATCH($E117, INDEX(REDBOOKSearchResults!$A$1:$AK$100, 0, MATCH($E$1, REDBOOKSearchResults!$1:$1, 0)), 0), MATCH(G$1, REDBOOKSearchResults!$1:$1, 0))</f>
        <v>100s ea</v>
      </c>
    </row>
    <row r="118" spans="1:7" x14ac:dyDescent="0.2">
      <c r="A118" t="str">
        <f t="shared" si="5"/>
        <v>POMALYST</v>
      </c>
      <c r="B118" s="3">
        <v>41996</v>
      </c>
      <c r="C118" s="4">
        <v>652.22699999999998</v>
      </c>
      <c r="D118" s="4">
        <v>3</v>
      </c>
      <c r="E118" s="1" t="str">
        <f t="shared" si="7"/>
        <v>59572-0502-00</v>
      </c>
      <c r="F118" t="str">
        <f>INDEX(REDBOOKSearchResults!$A$1:$AK$100, MATCH($E118, INDEX(REDBOOKSearchResults!$A$1:$AK$100, 0, MATCH($E$1, REDBOOKSearchResults!$1:$1, 0)), 0), MATCH(F$1, REDBOOKSearchResults!$1:$1, 0))</f>
        <v>2 mg</v>
      </c>
      <c r="G118" t="str">
        <f>INDEX(REDBOOKSearchResults!$A$1:$AK$100, MATCH($E118, INDEX(REDBOOKSearchResults!$A$1:$AK$100, 0, MATCH($E$1, REDBOOKSearchResults!$1:$1, 0)), 0), MATCH(G$1, REDBOOKSearchResults!$1:$1, 0))</f>
        <v>100s ea</v>
      </c>
    </row>
    <row r="119" spans="1:7" x14ac:dyDescent="0.2">
      <c r="A119" t="str">
        <f t="shared" si="5"/>
        <v>POMALYST</v>
      </c>
      <c r="B119" s="3">
        <v>41830</v>
      </c>
      <c r="C119" s="4">
        <v>633.23009999999999</v>
      </c>
      <c r="D119" s="4">
        <v>3</v>
      </c>
      <c r="E119" s="1" t="str">
        <f t="shared" si="7"/>
        <v>59572-0502-00</v>
      </c>
      <c r="F119" t="str">
        <f>INDEX(REDBOOKSearchResults!$A$1:$AK$100, MATCH($E119, INDEX(REDBOOKSearchResults!$A$1:$AK$100, 0, MATCH($E$1, REDBOOKSearchResults!$1:$1, 0)), 0), MATCH(F$1, REDBOOKSearchResults!$1:$1, 0))</f>
        <v>2 mg</v>
      </c>
      <c r="G119" t="str">
        <f>INDEX(REDBOOKSearchResults!$A$1:$AK$100, MATCH($E119, INDEX(REDBOOKSearchResults!$A$1:$AK$100, 0, MATCH($E$1, REDBOOKSearchResults!$1:$1, 0)), 0), MATCH(G$1, REDBOOKSearchResults!$1:$1, 0))</f>
        <v>100s ea</v>
      </c>
    </row>
    <row r="120" spans="1:7" x14ac:dyDescent="0.2">
      <c r="A120" t="str">
        <f t="shared" si="5"/>
        <v>POMALYST</v>
      </c>
      <c r="B120" s="3">
        <v>41650</v>
      </c>
      <c r="C120" s="4">
        <v>614.78639999999996</v>
      </c>
      <c r="D120" s="4">
        <v>3</v>
      </c>
      <c r="E120" s="1" t="str">
        <f t="shared" si="7"/>
        <v>59572-0502-00</v>
      </c>
      <c r="F120" t="str">
        <f>INDEX(REDBOOKSearchResults!$A$1:$AK$100, MATCH($E120, INDEX(REDBOOKSearchResults!$A$1:$AK$100, 0, MATCH($E$1, REDBOOKSearchResults!$1:$1, 0)), 0), MATCH(F$1, REDBOOKSearchResults!$1:$1, 0))</f>
        <v>2 mg</v>
      </c>
      <c r="G120" t="str">
        <f>INDEX(REDBOOKSearchResults!$A$1:$AK$100, MATCH($E120, INDEX(REDBOOKSearchResults!$A$1:$AK$100, 0, MATCH($E$1, REDBOOKSearchResults!$1:$1, 0)), 0), MATCH(G$1, REDBOOKSearchResults!$1:$1, 0))</f>
        <v>100s ea</v>
      </c>
    </row>
    <row r="121" spans="1:7" x14ac:dyDescent="0.2">
      <c r="A121" t="str">
        <f t="shared" si="5"/>
        <v>POMALYST</v>
      </c>
      <c r="B121" s="3">
        <v>41316</v>
      </c>
      <c r="C121" s="4">
        <v>596.88</v>
      </c>
      <c r="D121" s="4">
        <v>0</v>
      </c>
      <c r="E121" s="1" t="str">
        <f t="shared" si="7"/>
        <v>59572-0502-00</v>
      </c>
      <c r="F121" t="str">
        <f>INDEX(REDBOOKSearchResults!$A$1:$AK$100, MATCH($E121, INDEX(REDBOOKSearchResults!$A$1:$AK$100, 0, MATCH($E$1, REDBOOKSearchResults!$1:$1, 0)), 0), MATCH(F$1, REDBOOKSearchResults!$1:$1, 0))</f>
        <v>2 mg</v>
      </c>
      <c r="G121" t="str">
        <f>INDEX(REDBOOKSearchResults!$A$1:$AK$100, MATCH($E121, INDEX(REDBOOKSearchResults!$A$1:$AK$100, 0, MATCH($E$1, REDBOOKSearchResults!$1:$1, 0)), 0), MATCH(G$1, REDBOOKSearchResults!$1:$1, 0))</f>
        <v>100s ea</v>
      </c>
    </row>
    <row r="122" spans="1:7" x14ac:dyDescent="0.2">
      <c r="A122" t="str">
        <f t="shared" si="5"/>
        <v>POMALYST</v>
      </c>
      <c r="B122" s="3">
        <v>46023</v>
      </c>
      <c r="C122" s="4">
        <v>1431.4110000000001</v>
      </c>
      <c r="D122" s="4">
        <v>4.5</v>
      </c>
      <c r="E122" s="1" t="s">
        <v>64</v>
      </c>
      <c r="F122" t="str">
        <f>INDEX(REDBOOKSearchResults!$A$1:$AK$100, MATCH($E122, INDEX(REDBOOKSearchResults!$A$1:$AK$100, 0, MATCH($E$1, REDBOOKSearchResults!$1:$1, 0)), 0), MATCH(F$1, REDBOOKSearchResults!$1:$1, 0))</f>
        <v>1 mg</v>
      </c>
      <c r="G122" t="str">
        <f>INDEX(REDBOOKSearchResults!$A$1:$AK$100, MATCH($E122, INDEX(REDBOOKSearchResults!$A$1:$AK$100, 0, MATCH($E$1, REDBOOKSearchResults!$1:$1, 0)), 0), MATCH(G$1, REDBOOKSearchResults!$1:$1, 0))</f>
        <v>100s ea</v>
      </c>
    </row>
    <row r="123" spans="1:7" x14ac:dyDescent="0.2">
      <c r="A123" t="str">
        <f t="shared" si="5"/>
        <v>POMALYST</v>
      </c>
      <c r="B123" s="3">
        <v>45658</v>
      </c>
      <c r="C123" s="4">
        <v>1369.7713000000001</v>
      </c>
      <c r="D123" s="4">
        <v>4.5</v>
      </c>
      <c r="E123" s="1" t="str">
        <f>E122</f>
        <v>59572-0501-00</v>
      </c>
      <c r="F123" t="str">
        <f>INDEX(REDBOOKSearchResults!$A$1:$AK$100, MATCH($E123, INDEX(REDBOOKSearchResults!$A$1:$AK$100, 0, MATCH($E$1, REDBOOKSearchResults!$1:$1, 0)), 0), MATCH(F$1, REDBOOKSearchResults!$1:$1, 0))</f>
        <v>1 mg</v>
      </c>
      <c r="G123" t="str">
        <f>INDEX(REDBOOKSearchResults!$A$1:$AK$100, MATCH($E123, INDEX(REDBOOKSearchResults!$A$1:$AK$100, 0, MATCH($E$1, REDBOOKSearchResults!$1:$1, 0)), 0), MATCH(G$1, REDBOOKSearchResults!$1:$1, 0))</f>
        <v>100s ea</v>
      </c>
    </row>
    <row r="124" spans="1:7" x14ac:dyDescent="0.2">
      <c r="A124" t="str">
        <f t="shared" si="5"/>
        <v>POMALYST</v>
      </c>
      <c r="B124" s="3">
        <v>45292</v>
      </c>
      <c r="C124" s="4">
        <v>1310.7859000000001</v>
      </c>
      <c r="D124" s="4">
        <v>6</v>
      </c>
      <c r="E124" s="1" t="str">
        <f t="shared" ref="E124:E141" si="8">E123</f>
        <v>59572-0501-00</v>
      </c>
      <c r="F124" t="str">
        <f>INDEX(REDBOOKSearchResults!$A$1:$AK$100, MATCH($E124, INDEX(REDBOOKSearchResults!$A$1:$AK$100, 0, MATCH($E$1, REDBOOKSearchResults!$1:$1, 0)), 0), MATCH(F$1, REDBOOKSearchResults!$1:$1, 0))</f>
        <v>1 mg</v>
      </c>
      <c r="G124" t="str">
        <f>INDEX(REDBOOKSearchResults!$A$1:$AK$100, MATCH($E124, INDEX(REDBOOKSearchResults!$A$1:$AK$100, 0, MATCH($E$1, REDBOOKSearchResults!$1:$1, 0)), 0), MATCH(G$1, REDBOOKSearchResults!$1:$1, 0))</f>
        <v>100s ea</v>
      </c>
    </row>
    <row r="125" spans="1:7" x14ac:dyDescent="0.2">
      <c r="A125" t="str">
        <f t="shared" si="5"/>
        <v>POMALYST</v>
      </c>
      <c r="B125" s="3">
        <v>45108</v>
      </c>
      <c r="C125" s="4">
        <v>1236.5905</v>
      </c>
      <c r="D125" s="4">
        <v>2.5</v>
      </c>
      <c r="E125" s="1" t="str">
        <f t="shared" si="8"/>
        <v>59572-0501-00</v>
      </c>
      <c r="F125" t="str">
        <f>INDEX(REDBOOKSearchResults!$A$1:$AK$100, MATCH($E125, INDEX(REDBOOKSearchResults!$A$1:$AK$100, 0, MATCH($E$1, REDBOOKSearchResults!$1:$1, 0)), 0), MATCH(F$1, REDBOOKSearchResults!$1:$1, 0))</f>
        <v>1 mg</v>
      </c>
      <c r="G125" t="str">
        <f>INDEX(REDBOOKSearchResults!$A$1:$AK$100, MATCH($E125, INDEX(REDBOOKSearchResults!$A$1:$AK$100, 0, MATCH($E$1, REDBOOKSearchResults!$1:$1, 0)), 0), MATCH(G$1, REDBOOKSearchResults!$1:$1, 0))</f>
        <v>100s ea</v>
      </c>
    </row>
    <row r="126" spans="1:7" x14ac:dyDescent="0.2">
      <c r="A126" t="str">
        <f t="shared" si="5"/>
        <v>POMALYST</v>
      </c>
      <c r="B126" s="3">
        <v>44927</v>
      </c>
      <c r="C126" s="4">
        <v>1206.4297999999999</v>
      </c>
      <c r="D126" s="4">
        <v>6</v>
      </c>
      <c r="E126" s="1" t="str">
        <f t="shared" si="8"/>
        <v>59572-0501-00</v>
      </c>
      <c r="F126" t="str">
        <f>INDEX(REDBOOKSearchResults!$A$1:$AK$100, MATCH($E126, INDEX(REDBOOKSearchResults!$A$1:$AK$100, 0, MATCH($E$1, REDBOOKSearchResults!$1:$1, 0)), 0), MATCH(F$1, REDBOOKSearchResults!$1:$1, 0))</f>
        <v>1 mg</v>
      </c>
      <c r="G126" t="str">
        <f>INDEX(REDBOOKSearchResults!$A$1:$AK$100, MATCH($E126, INDEX(REDBOOKSearchResults!$A$1:$AK$100, 0, MATCH($E$1, REDBOOKSearchResults!$1:$1, 0)), 0), MATCH(G$1, REDBOOKSearchResults!$1:$1, 0))</f>
        <v>100s ea</v>
      </c>
    </row>
    <row r="127" spans="1:7" x14ac:dyDescent="0.2">
      <c r="A127" t="str">
        <f t="shared" si="5"/>
        <v>POMALYST</v>
      </c>
      <c r="B127" s="3">
        <v>44562</v>
      </c>
      <c r="C127" s="4">
        <v>1138.1412</v>
      </c>
      <c r="D127" s="4">
        <v>4.5</v>
      </c>
      <c r="E127" s="1" t="str">
        <f t="shared" si="8"/>
        <v>59572-0501-00</v>
      </c>
      <c r="F127" t="str">
        <f>INDEX(REDBOOKSearchResults!$A$1:$AK$100, MATCH($E127, INDEX(REDBOOKSearchResults!$A$1:$AK$100, 0, MATCH($E$1, REDBOOKSearchResults!$1:$1, 0)), 0), MATCH(F$1, REDBOOKSearchResults!$1:$1, 0))</f>
        <v>1 mg</v>
      </c>
      <c r="G127" t="str">
        <f>INDEX(REDBOOKSearchResults!$A$1:$AK$100, MATCH($E127, INDEX(REDBOOKSearchResults!$A$1:$AK$100, 0, MATCH($E$1, REDBOOKSearchResults!$1:$1, 0)), 0), MATCH(G$1, REDBOOKSearchResults!$1:$1, 0))</f>
        <v>100s ea</v>
      </c>
    </row>
    <row r="128" spans="1:7" x14ac:dyDescent="0.2">
      <c r="A128" t="str">
        <f t="shared" si="5"/>
        <v>POMALYST</v>
      </c>
      <c r="B128" s="3">
        <v>44197</v>
      </c>
      <c r="C128" s="4">
        <v>1089.1303</v>
      </c>
      <c r="D128" s="4">
        <v>4.5</v>
      </c>
      <c r="E128" s="1" t="str">
        <f t="shared" si="8"/>
        <v>59572-0501-00</v>
      </c>
      <c r="F128" t="str">
        <f>INDEX(REDBOOKSearchResults!$A$1:$AK$100, MATCH($E128, INDEX(REDBOOKSearchResults!$A$1:$AK$100, 0, MATCH($E$1, REDBOOKSearchResults!$1:$1, 0)), 0), MATCH(F$1, REDBOOKSearchResults!$1:$1, 0))</f>
        <v>1 mg</v>
      </c>
      <c r="G128" t="str">
        <f>INDEX(REDBOOKSearchResults!$A$1:$AK$100, MATCH($E128, INDEX(REDBOOKSearchResults!$A$1:$AK$100, 0, MATCH($E$1, REDBOOKSearchResults!$1:$1, 0)), 0), MATCH(G$1, REDBOOKSearchResults!$1:$1, 0))</f>
        <v>100s ea</v>
      </c>
    </row>
    <row r="129" spans="1:7" x14ac:dyDescent="0.2">
      <c r="A129" t="str">
        <f t="shared" si="5"/>
        <v>POMALYST</v>
      </c>
      <c r="B129" s="3">
        <v>43831</v>
      </c>
      <c r="C129" s="4">
        <v>1042.23</v>
      </c>
      <c r="D129" s="4">
        <v>6</v>
      </c>
      <c r="E129" s="1" t="str">
        <f t="shared" si="8"/>
        <v>59572-0501-00</v>
      </c>
      <c r="F129" t="str">
        <f>INDEX(REDBOOKSearchResults!$A$1:$AK$100, MATCH($E129, INDEX(REDBOOKSearchResults!$A$1:$AK$100, 0, MATCH($E$1, REDBOOKSearchResults!$1:$1, 0)), 0), MATCH(F$1, REDBOOKSearchResults!$1:$1, 0))</f>
        <v>1 mg</v>
      </c>
      <c r="G129" t="str">
        <f>INDEX(REDBOOKSearchResults!$A$1:$AK$100, MATCH($E129, INDEX(REDBOOKSearchResults!$A$1:$AK$100, 0, MATCH($E$1, REDBOOKSearchResults!$1:$1, 0)), 0), MATCH(G$1, REDBOOKSearchResults!$1:$1, 0))</f>
        <v>100s ea</v>
      </c>
    </row>
    <row r="130" spans="1:7" x14ac:dyDescent="0.2">
      <c r="A130" t="str">
        <f t="shared" si="5"/>
        <v>POMALYST</v>
      </c>
      <c r="B130" s="3">
        <v>43468</v>
      </c>
      <c r="C130" s="4">
        <v>983.23590000000002</v>
      </c>
      <c r="D130" s="4">
        <v>3.5</v>
      </c>
      <c r="E130" s="1" t="str">
        <f t="shared" si="8"/>
        <v>59572-0501-00</v>
      </c>
      <c r="F130" t="str">
        <f>INDEX(REDBOOKSearchResults!$A$1:$AK$100, MATCH($E130, INDEX(REDBOOKSearchResults!$A$1:$AK$100, 0, MATCH($E$1, REDBOOKSearchResults!$1:$1, 0)), 0), MATCH(F$1, REDBOOKSearchResults!$1:$1, 0))</f>
        <v>1 mg</v>
      </c>
      <c r="G130" t="str">
        <f>INDEX(REDBOOKSearchResults!$A$1:$AK$100, MATCH($E130, INDEX(REDBOOKSearchResults!$A$1:$AK$100, 0, MATCH($E$1, REDBOOKSearchResults!$1:$1, 0)), 0), MATCH(G$1, REDBOOKSearchResults!$1:$1, 0))</f>
        <v>100s ea</v>
      </c>
    </row>
    <row r="131" spans="1:7" x14ac:dyDescent="0.2">
      <c r="A131" t="str">
        <f t="shared" si="5"/>
        <v>POMALYST</v>
      </c>
      <c r="B131" s="3">
        <v>43291</v>
      </c>
      <c r="C131" s="4">
        <v>949.9864</v>
      </c>
      <c r="D131" s="4">
        <v>5</v>
      </c>
      <c r="E131" s="1" t="str">
        <f t="shared" si="8"/>
        <v>59572-0501-00</v>
      </c>
      <c r="F131" t="str">
        <f>INDEX(REDBOOKSearchResults!$A$1:$AK$100, MATCH($E131, INDEX(REDBOOKSearchResults!$A$1:$AK$100, 0, MATCH($E$1, REDBOOKSearchResults!$1:$1, 0)), 0), MATCH(F$1, REDBOOKSearchResults!$1:$1, 0))</f>
        <v>1 mg</v>
      </c>
      <c r="G131" t="str">
        <f>INDEX(REDBOOKSearchResults!$A$1:$AK$100, MATCH($E131, INDEX(REDBOOKSearchResults!$A$1:$AK$100, 0, MATCH($E$1, REDBOOKSearchResults!$1:$1, 0)), 0), MATCH(G$1, REDBOOKSearchResults!$1:$1, 0))</f>
        <v>100s ea</v>
      </c>
    </row>
    <row r="132" spans="1:7" x14ac:dyDescent="0.2">
      <c r="A132" t="str">
        <f t="shared" ref="A132:A161" si="9">A131</f>
        <v>POMALYST</v>
      </c>
      <c r="B132" s="3">
        <v>43028</v>
      </c>
      <c r="C132" s="4">
        <v>904.74890000000005</v>
      </c>
      <c r="D132" s="4">
        <v>9</v>
      </c>
      <c r="E132" s="1" t="str">
        <f t="shared" si="8"/>
        <v>59572-0501-00</v>
      </c>
      <c r="F132" t="str">
        <f>INDEX(REDBOOKSearchResults!$A$1:$AK$100, MATCH($E132, INDEX(REDBOOKSearchResults!$A$1:$AK$100, 0, MATCH($E$1, REDBOOKSearchResults!$1:$1, 0)), 0), MATCH(F$1, REDBOOKSearchResults!$1:$1, 0))</f>
        <v>1 mg</v>
      </c>
      <c r="G132" t="str">
        <f>INDEX(REDBOOKSearchResults!$A$1:$AK$100, MATCH($E132, INDEX(REDBOOKSearchResults!$A$1:$AK$100, 0, MATCH($E$1, REDBOOKSearchResults!$1:$1, 0)), 0), MATCH(G$1, REDBOOKSearchResults!$1:$1, 0))</f>
        <v>100s ea</v>
      </c>
    </row>
    <row r="133" spans="1:7" x14ac:dyDescent="0.2">
      <c r="A133" t="str">
        <f t="shared" si="9"/>
        <v>POMALYST</v>
      </c>
      <c r="B133" s="3">
        <v>42830</v>
      </c>
      <c r="C133" s="4">
        <v>830.04480000000001</v>
      </c>
      <c r="D133" s="4">
        <v>8</v>
      </c>
      <c r="E133" s="1" t="str">
        <f t="shared" si="8"/>
        <v>59572-0501-00</v>
      </c>
      <c r="F133" t="str">
        <f>INDEX(REDBOOKSearchResults!$A$1:$AK$100, MATCH($E133, INDEX(REDBOOKSearchResults!$A$1:$AK$100, 0, MATCH($E$1, REDBOOKSearchResults!$1:$1, 0)), 0), MATCH(F$1, REDBOOKSearchResults!$1:$1, 0))</f>
        <v>1 mg</v>
      </c>
      <c r="G133" t="str">
        <f>INDEX(REDBOOKSearchResults!$A$1:$AK$100, MATCH($E133, INDEX(REDBOOKSearchResults!$A$1:$AK$100, 0, MATCH($E$1, REDBOOKSearchResults!$1:$1, 0)), 0), MATCH(G$1, REDBOOKSearchResults!$1:$1, 0))</f>
        <v>100s ea</v>
      </c>
    </row>
    <row r="134" spans="1:7" x14ac:dyDescent="0.2">
      <c r="A134" t="str">
        <f t="shared" si="9"/>
        <v>POMALYST</v>
      </c>
      <c r="B134" s="3">
        <v>42602</v>
      </c>
      <c r="C134" s="4">
        <v>768.56010000000003</v>
      </c>
      <c r="D134" s="4">
        <v>3</v>
      </c>
      <c r="E134" s="1" t="str">
        <f t="shared" si="8"/>
        <v>59572-0501-00</v>
      </c>
      <c r="F134" t="str">
        <f>INDEX(REDBOOKSearchResults!$A$1:$AK$100, MATCH($E134, INDEX(REDBOOKSearchResults!$A$1:$AK$100, 0, MATCH($E$1, REDBOOKSearchResults!$1:$1, 0)), 0), MATCH(F$1, REDBOOKSearchResults!$1:$1, 0))</f>
        <v>1 mg</v>
      </c>
      <c r="G134" t="str">
        <f>INDEX(REDBOOKSearchResults!$A$1:$AK$100, MATCH($E134, INDEX(REDBOOKSearchResults!$A$1:$AK$100, 0, MATCH($E$1, REDBOOKSearchResults!$1:$1, 0)), 0), MATCH(G$1, REDBOOKSearchResults!$1:$1, 0))</f>
        <v>100s ea</v>
      </c>
    </row>
    <row r="135" spans="1:7" x14ac:dyDescent="0.2">
      <c r="A135" t="str">
        <f t="shared" si="9"/>
        <v>POMALYST</v>
      </c>
      <c r="B135" s="3">
        <v>42439</v>
      </c>
      <c r="C135" s="4">
        <v>746.1748</v>
      </c>
      <c r="D135" s="4">
        <v>6.8</v>
      </c>
      <c r="E135" s="1" t="str">
        <f t="shared" si="8"/>
        <v>59572-0501-00</v>
      </c>
      <c r="F135" t="str">
        <f>INDEX(REDBOOKSearchResults!$A$1:$AK$100, MATCH($E135, INDEX(REDBOOKSearchResults!$A$1:$AK$100, 0, MATCH($E$1, REDBOOKSearchResults!$1:$1, 0)), 0), MATCH(F$1, REDBOOKSearchResults!$1:$1, 0))</f>
        <v>1 mg</v>
      </c>
      <c r="G135" t="str">
        <f>INDEX(REDBOOKSearchResults!$A$1:$AK$100, MATCH($E135, INDEX(REDBOOKSearchResults!$A$1:$AK$100, 0, MATCH($E$1, REDBOOKSearchResults!$1:$1, 0)), 0), MATCH(G$1, REDBOOKSearchResults!$1:$1, 0))</f>
        <v>100s ea</v>
      </c>
    </row>
    <row r="136" spans="1:7" x14ac:dyDescent="0.2">
      <c r="A136" t="str">
        <f t="shared" si="9"/>
        <v>POMALYST</v>
      </c>
      <c r="B136" s="3">
        <v>42279</v>
      </c>
      <c r="C136" s="4">
        <v>698.66549999999995</v>
      </c>
      <c r="D136" s="4">
        <v>4</v>
      </c>
      <c r="E136" s="1" t="str">
        <f t="shared" si="8"/>
        <v>59572-0501-00</v>
      </c>
      <c r="F136" t="str">
        <f>INDEX(REDBOOKSearchResults!$A$1:$AK$100, MATCH($E136, INDEX(REDBOOKSearchResults!$A$1:$AK$100, 0, MATCH($E$1, REDBOOKSearchResults!$1:$1, 0)), 0), MATCH(F$1, REDBOOKSearchResults!$1:$1, 0))</f>
        <v>1 mg</v>
      </c>
      <c r="G136" t="str">
        <f>INDEX(REDBOOKSearchResults!$A$1:$AK$100, MATCH($E136, INDEX(REDBOOKSearchResults!$A$1:$AK$100, 0, MATCH($E$1, REDBOOKSearchResults!$1:$1, 0)), 0), MATCH(G$1, REDBOOKSearchResults!$1:$1, 0))</f>
        <v>100s ea</v>
      </c>
    </row>
    <row r="137" spans="1:7" x14ac:dyDescent="0.2">
      <c r="A137" t="str">
        <f t="shared" si="9"/>
        <v>POMALYST</v>
      </c>
      <c r="B137" s="3">
        <v>42180</v>
      </c>
      <c r="C137" s="4">
        <v>671.79380000000003</v>
      </c>
      <c r="D137" s="4">
        <v>3</v>
      </c>
      <c r="E137" s="1" t="str">
        <f t="shared" si="8"/>
        <v>59572-0501-00</v>
      </c>
      <c r="F137" t="str">
        <f>INDEX(REDBOOKSearchResults!$A$1:$AK$100, MATCH($E137, INDEX(REDBOOKSearchResults!$A$1:$AK$100, 0, MATCH($E$1, REDBOOKSearchResults!$1:$1, 0)), 0), MATCH(F$1, REDBOOKSearchResults!$1:$1, 0))</f>
        <v>1 mg</v>
      </c>
      <c r="G137" t="str">
        <f>INDEX(REDBOOKSearchResults!$A$1:$AK$100, MATCH($E137, INDEX(REDBOOKSearchResults!$A$1:$AK$100, 0, MATCH($E$1, REDBOOKSearchResults!$1:$1, 0)), 0), MATCH(G$1, REDBOOKSearchResults!$1:$1, 0))</f>
        <v>100s ea</v>
      </c>
    </row>
    <row r="138" spans="1:7" x14ac:dyDescent="0.2">
      <c r="A138" t="str">
        <f t="shared" si="9"/>
        <v>POMALYST</v>
      </c>
      <c r="B138" s="3">
        <v>41996</v>
      </c>
      <c r="C138" s="4">
        <v>652.22699999999998</v>
      </c>
      <c r="D138" s="4">
        <v>3</v>
      </c>
      <c r="E138" s="1" t="str">
        <f t="shared" si="8"/>
        <v>59572-0501-00</v>
      </c>
      <c r="F138" t="str">
        <f>INDEX(REDBOOKSearchResults!$A$1:$AK$100, MATCH($E138, INDEX(REDBOOKSearchResults!$A$1:$AK$100, 0, MATCH($E$1, REDBOOKSearchResults!$1:$1, 0)), 0), MATCH(F$1, REDBOOKSearchResults!$1:$1, 0))</f>
        <v>1 mg</v>
      </c>
      <c r="G138" t="str">
        <f>INDEX(REDBOOKSearchResults!$A$1:$AK$100, MATCH($E138, INDEX(REDBOOKSearchResults!$A$1:$AK$100, 0, MATCH($E$1, REDBOOKSearchResults!$1:$1, 0)), 0), MATCH(G$1, REDBOOKSearchResults!$1:$1, 0))</f>
        <v>100s ea</v>
      </c>
    </row>
    <row r="139" spans="1:7" x14ac:dyDescent="0.2">
      <c r="A139" t="str">
        <f t="shared" si="9"/>
        <v>POMALYST</v>
      </c>
      <c r="B139" s="3">
        <v>41830</v>
      </c>
      <c r="C139" s="4">
        <v>633.23009999999999</v>
      </c>
      <c r="D139" s="4">
        <v>3</v>
      </c>
      <c r="E139" s="1" t="str">
        <f t="shared" si="8"/>
        <v>59572-0501-00</v>
      </c>
      <c r="F139" t="str">
        <f>INDEX(REDBOOKSearchResults!$A$1:$AK$100, MATCH($E139, INDEX(REDBOOKSearchResults!$A$1:$AK$100, 0, MATCH($E$1, REDBOOKSearchResults!$1:$1, 0)), 0), MATCH(F$1, REDBOOKSearchResults!$1:$1, 0))</f>
        <v>1 mg</v>
      </c>
      <c r="G139" t="str">
        <f>INDEX(REDBOOKSearchResults!$A$1:$AK$100, MATCH($E139, INDEX(REDBOOKSearchResults!$A$1:$AK$100, 0, MATCH($E$1, REDBOOKSearchResults!$1:$1, 0)), 0), MATCH(G$1, REDBOOKSearchResults!$1:$1, 0))</f>
        <v>100s ea</v>
      </c>
    </row>
    <row r="140" spans="1:7" x14ac:dyDescent="0.2">
      <c r="A140" t="str">
        <f t="shared" si="9"/>
        <v>POMALYST</v>
      </c>
      <c r="B140" s="3">
        <v>41650</v>
      </c>
      <c r="C140" s="4">
        <v>614.78639999999996</v>
      </c>
      <c r="D140" s="4">
        <v>3</v>
      </c>
      <c r="E140" s="1" t="str">
        <f t="shared" si="8"/>
        <v>59572-0501-00</v>
      </c>
      <c r="F140" t="str">
        <f>INDEX(REDBOOKSearchResults!$A$1:$AK$100, MATCH($E140, INDEX(REDBOOKSearchResults!$A$1:$AK$100, 0, MATCH($E$1, REDBOOKSearchResults!$1:$1, 0)), 0), MATCH(F$1, REDBOOKSearchResults!$1:$1, 0))</f>
        <v>1 mg</v>
      </c>
      <c r="G140" t="str">
        <f>INDEX(REDBOOKSearchResults!$A$1:$AK$100, MATCH($E140, INDEX(REDBOOKSearchResults!$A$1:$AK$100, 0, MATCH($E$1, REDBOOKSearchResults!$1:$1, 0)), 0), MATCH(G$1, REDBOOKSearchResults!$1:$1, 0))</f>
        <v>100s ea</v>
      </c>
    </row>
    <row r="141" spans="1:7" x14ac:dyDescent="0.2">
      <c r="A141" t="str">
        <f t="shared" si="9"/>
        <v>POMALYST</v>
      </c>
      <c r="B141" s="3">
        <v>41316</v>
      </c>
      <c r="C141" s="4">
        <v>596.88</v>
      </c>
      <c r="D141" s="4">
        <v>0</v>
      </c>
      <c r="E141" s="1" t="str">
        <f t="shared" si="8"/>
        <v>59572-0501-00</v>
      </c>
      <c r="F141" t="str">
        <f>INDEX(REDBOOKSearchResults!$A$1:$AK$100, MATCH($E141, INDEX(REDBOOKSearchResults!$A$1:$AK$100, 0, MATCH($E$1, REDBOOKSearchResults!$1:$1, 0)), 0), MATCH(F$1, REDBOOKSearchResults!$1:$1, 0))</f>
        <v>1 mg</v>
      </c>
      <c r="G141" t="str">
        <f>INDEX(REDBOOKSearchResults!$A$1:$AK$100, MATCH($E141, INDEX(REDBOOKSearchResults!$A$1:$AK$100, 0, MATCH($E$1, REDBOOKSearchResults!$1:$1, 0)), 0), MATCH(G$1, REDBOOKSearchResults!$1:$1, 0))</f>
        <v>100s ea</v>
      </c>
    </row>
    <row r="142" spans="1:7" x14ac:dyDescent="0.2">
      <c r="A142" t="str">
        <f t="shared" si="9"/>
        <v>POMALYST</v>
      </c>
      <c r="B142" s="3">
        <v>46023</v>
      </c>
      <c r="C142" s="4">
        <v>1431.4114300000001</v>
      </c>
      <c r="D142" s="4">
        <v>4.5</v>
      </c>
      <c r="E142" s="1" t="s">
        <v>66</v>
      </c>
      <c r="F142" t="str">
        <f>INDEX(REDBOOKSearchResults!$A$1:$AK$100, MATCH($E142, INDEX(REDBOOKSearchResults!$A$1:$AK$100, 0, MATCH($E$1, REDBOOKSearchResults!$1:$1, 0)), 0), MATCH(F$1, REDBOOKSearchResults!$1:$1, 0))</f>
        <v>1 mg</v>
      </c>
      <c r="G142" t="str">
        <f>INDEX(REDBOOKSearchResults!$A$1:$AK$100, MATCH($E142, INDEX(REDBOOKSearchResults!$A$1:$AK$100, 0, MATCH($E$1, REDBOOKSearchResults!$1:$1, 0)), 0), MATCH(G$1, REDBOOKSearchResults!$1:$1, 0))</f>
        <v>21s ea</v>
      </c>
    </row>
    <row r="143" spans="1:7" x14ac:dyDescent="0.2">
      <c r="A143" t="str">
        <f t="shared" si="9"/>
        <v>POMALYST</v>
      </c>
      <c r="B143" s="3">
        <v>45658</v>
      </c>
      <c r="C143" s="4">
        <v>1369.77143</v>
      </c>
      <c r="D143" s="4">
        <v>4.5</v>
      </c>
      <c r="E143" s="1" t="str">
        <f>E142</f>
        <v>59572-0501-21</v>
      </c>
      <c r="F143" t="str">
        <f>INDEX(REDBOOKSearchResults!$A$1:$AK$100, MATCH($E143, INDEX(REDBOOKSearchResults!$A$1:$AK$100, 0, MATCH($E$1, REDBOOKSearchResults!$1:$1, 0)), 0), MATCH(F$1, REDBOOKSearchResults!$1:$1, 0))</f>
        <v>1 mg</v>
      </c>
      <c r="G143" t="str">
        <f>INDEX(REDBOOKSearchResults!$A$1:$AK$100, MATCH($E143, INDEX(REDBOOKSearchResults!$A$1:$AK$100, 0, MATCH($E$1, REDBOOKSearchResults!$1:$1, 0)), 0), MATCH(G$1, REDBOOKSearchResults!$1:$1, 0))</f>
        <v>21s ea</v>
      </c>
    </row>
    <row r="144" spans="1:7" x14ac:dyDescent="0.2">
      <c r="A144" t="str">
        <f t="shared" si="9"/>
        <v>POMALYST</v>
      </c>
      <c r="B144" s="3">
        <v>45292</v>
      </c>
      <c r="C144" s="4">
        <v>1310.78619</v>
      </c>
      <c r="D144" s="4">
        <v>6</v>
      </c>
      <c r="E144" s="1" t="str">
        <f t="shared" ref="E144:E161" si="10">E143</f>
        <v>59572-0501-21</v>
      </c>
      <c r="F144" t="str">
        <f>INDEX(REDBOOKSearchResults!$A$1:$AK$100, MATCH($E144, INDEX(REDBOOKSearchResults!$A$1:$AK$100, 0, MATCH($E$1, REDBOOKSearchResults!$1:$1, 0)), 0), MATCH(F$1, REDBOOKSearchResults!$1:$1, 0))</f>
        <v>1 mg</v>
      </c>
      <c r="G144" t="str">
        <f>INDEX(REDBOOKSearchResults!$A$1:$AK$100, MATCH($E144, INDEX(REDBOOKSearchResults!$A$1:$AK$100, 0, MATCH($E$1, REDBOOKSearchResults!$1:$1, 0)), 0), MATCH(G$1, REDBOOKSearchResults!$1:$1, 0))</f>
        <v>21s ea</v>
      </c>
    </row>
    <row r="145" spans="1:7" x14ac:dyDescent="0.2">
      <c r="A145" t="str">
        <f t="shared" si="9"/>
        <v>POMALYST</v>
      </c>
      <c r="B145" s="3">
        <v>45108</v>
      </c>
      <c r="C145" s="4">
        <v>1236.59095</v>
      </c>
      <c r="D145" s="4">
        <v>2.5</v>
      </c>
      <c r="E145" s="1" t="str">
        <f t="shared" si="10"/>
        <v>59572-0501-21</v>
      </c>
      <c r="F145" t="str">
        <f>INDEX(REDBOOKSearchResults!$A$1:$AK$100, MATCH($E145, INDEX(REDBOOKSearchResults!$A$1:$AK$100, 0, MATCH($E$1, REDBOOKSearchResults!$1:$1, 0)), 0), MATCH(F$1, REDBOOKSearchResults!$1:$1, 0))</f>
        <v>1 mg</v>
      </c>
      <c r="G145" t="str">
        <f>INDEX(REDBOOKSearchResults!$A$1:$AK$100, MATCH($E145, INDEX(REDBOOKSearchResults!$A$1:$AK$100, 0, MATCH($E$1, REDBOOKSearchResults!$1:$1, 0)), 0), MATCH(G$1, REDBOOKSearchResults!$1:$1, 0))</f>
        <v>21s ea</v>
      </c>
    </row>
    <row r="146" spans="1:7" x14ac:dyDescent="0.2">
      <c r="A146" t="str">
        <f t="shared" si="9"/>
        <v>POMALYST</v>
      </c>
      <c r="B146" s="3">
        <v>44927</v>
      </c>
      <c r="C146" s="4">
        <v>1206.43048</v>
      </c>
      <c r="D146" s="4">
        <v>6</v>
      </c>
      <c r="E146" s="1" t="str">
        <f t="shared" si="10"/>
        <v>59572-0501-21</v>
      </c>
      <c r="F146" t="str">
        <f>INDEX(REDBOOKSearchResults!$A$1:$AK$100, MATCH($E146, INDEX(REDBOOKSearchResults!$A$1:$AK$100, 0, MATCH($E$1, REDBOOKSearchResults!$1:$1, 0)), 0), MATCH(F$1, REDBOOKSearchResults!$1:$1, 0))</f>
        <v>1 mg</v>
      </c>
      <c r="G146" t="str">
        <f>INDEX(REDBOOKSearchResults!$A$1:$AK$100, MATCH($E146, INDEX(REDBOOKSearchResults!$A$1:$AK$100, 0, MATCH($E$1, REDBOOKSearchResults!$1:$1, 0)), 0), MATCH(G$1, REDBOOKSearchResults!$1:$1, 0))</f>
        <v>21s ea</v>
      </c>
    </row>
    <row r="147" spans="1:7" x14ac:dyDescent="0.2">
      <c r="A147" t="str">
        <f t="shared" si="9"/>
        <v>POMALYST</v>
      </c>
      <c r="B147" s="3">
        <v>44562</v>
      </c>
      <c r="C147" s="4">
        <v>1138.1419000000001</v>
      </c>
      <c r="D147" s="4">
        <v>4.5</v>
      </c>
      <c r="E147" s="1" t="str">
        <f t="shared" si="10"/>
        <v>59572-0501-21</v>
      </c>
      <c r="F147" t="str">
        <f>INDEX(REDBOOKSearchResults!$A$1:$AK$100, MATCH($E147, INDEX(REDBOOKSearchResults!$A$1:$AK$100, 0, MATCH($E$1, REDBOOKSearchResults!$1:$1, 0)), 0), MATCH(F$1, REDBOOKSearchResults!$1:$1, 0))</f>
        <v>1 mg</v>
      </c>
      <c r="G147" t="str">
        <f>INDEX(REDBOOKSearchResults!$A$1:$AK$100, MATCH($E147, INDEX(REDBOOKSearchResults!$A$1:$AK$100, 0, MATCH($E$1, REDBOOKSearchResults!$1:$1, 0)), 0), MATCH(G$1, REDBOOKSearchResults!$1:$1, 0))</f>
        <v>21s ea</v>
      </c>
    </row>
    <row r="148" spans="1:7" x14ac:dyDescent="0.2">
      <c r="A148" t="str">
        <f t="shared" si="9"/>
        <v>POMALYST</v>
      </c>
      <c r="B148" s="3">
        <v>44197</v>
      </c>
      <c r="C148" s="4">
        <v>1089.13095</v>
      </c>
      <c r="D148" s="4">
        <v>4.5</v>
      </c>
      <c r="E148" s="1" t="str">
        <f t="shared" si="10"/>
        <v>59572-0501-21</v>
      </c>
      <c r="F148" t="str">
        <f>INDEX(REDBOOKSearchResults!$A$1:$AK$100, MATCH($E148, INDEX(REDBOOKSearchResults!$A$1:$AK$100, 0, MATCH($E$1, REDBOOKSearchResults!$1:$1, 0)), 0), MATCH(F$1, REDBOOKSearchResults!$1:$1, 0))</f>
        <v>1 mg</v>
      </c>
      <c r="G148" t="str">
        <f>INDEX(REDBOOKSearchResults!$A$1:$AK$100, MATCH($E148, INDEX(REDBOOKSearchResults!$A$1:$AK$100, 0, MATCH($E$1, REDBOOKSearchResults!$1:$1, 0)), 0), MATCH(G$1, REDBOOKSearchResults!$1:$1, 0))</f>
        <v>21s ea</v>
      </c>
    </row>
    <row r="149" spans="1:7" x14ac:dyDescent="0.2">
      <c r="A149" t="str">
        <f t="shared" si="9"/>
        <v>POMALYST</v>
      </c>
      <c r="B149" s="3">
        <v>43831</v>
      </c>
      <c r="C149" s="4">
        <v>1042.2304799999999</v>
      </c>
      <c r="D149" s="4">
        <v>6</v>
      </c>
      <c r="E149" s="1" t="str">
        <f t="shared" si="10"/>
        <v>59572-0501-21</v>
      </c>
      <c r="F149" t="str">
        <f>INDEX(REDBOOKSearchResults!$A$1:$AK$100, MATCH($E149, INDEX(REDBOOKSearchResults!$A$1:$AK$100, 0, MATCH($E$1, REDBOOKSearchResults!$1:$1, 0)), 0), MATCH(F$1, REDBOOKSearchResults!$1:$1, 0))</f>
        <v>1 mg</v>
      </c>
      <c r="G149" t="str">
        <f>INDEX(REDBOOKSearchResults!$A$1:$AK$100, MATCH($E149, INDEX(REDBOOKSearchResults!$A$1:$AK$100, 0, MATCH($E$1, REDBOOKSearchResults!$1:$1, 0)), 0), MATCH(G$1, REDBOOKSearchResults!$1:$1, 0))</f>
        <v>21s ea</v>
      </c>
    </row>
    <row r="150" spans="1:7" x14ac:dyDescent="0.2">
      <c r="A150" t="str">
        <f t="shared" si="9"/>
        <v>POMALYST</v>
      </c>
      <c r="B150" s="3">
        <v>43468</v>
      </c>
      <c r="C150" s="4">
        <v>983.23618999999997</v>
      </c>
      <c r="D150" s="4">
        <v>3.5</v>
      </c>
      <c r="E150" s="1" t="str">
        <f t="shared" si="10"/>
        <v>59572-0501-21</v>
      </c>
      <c r="F150" t="str">
        <f>INDEX(REDBOOKSearchResults!$A$1:$AK$100, MATCH($E150, INDEX(REDBOOKSearchResults!$A$1:$AK$100, 0, MATCH($E$1, REDBOOKSearchResults!$1:$1, 0)), 0), MATCH(F$1, REDBOOKSearchResults!$1:$1, 0))</f>
        <v>1 mg</v>
      </c>
      <c r="G150" t="str">
        <f>INDEX(REDBOOKSearchResults!$A$1:$AK$100, MATCH($E150, INDEX(REDBOOKSearchResults!$A$1:$AK$100, 0, MATCH($E$1, REDBOOKSearchResults!$1:$1, 0)), 0), MATCH(G$1, REDBOOKSearchResults!$1:$1, 0))</f>
        <v>21s ea</v>
      </c>
    </row>
    <row r="151" spans="1:7" x14ac:dyDescent="0.2">
      <c r="A151" t="str">
        <f t="shared" si="9"/>
        <v>POMALYST</v>
      </c>
      <c r="B151" s="3">
        <v>43291</v>
      </c>
      <c r="C151" s="4">
        <v>949.98618999999997</v>
      </c>
      <c r="D151" s="4">
        <v>5</v>
      </c>
      <c r="E151" s="1" t="str">
        <f t="shared" si="10"/>
        <v>59572-0501-21</v>
      </c>
      <c r="F151" t="str">
        <f>INDEX(REDBOOKSearchResults!$A$1:$AK$100, MATCH($E151, INDEX(REDBOOKSearchResults!$A$1:$AK$100, 0, MATCH($E$1, REDBOOKSearchResults!$1:$1, 0)), 0), MATCH(F$1, REDBOOKSearchResults!$1:$1, 0))</f>
        <v>1 mg</v>
      </c>
      <c r="G151" t="str">
        <f>INDEX(REDBOOKSearchResults!$A$1:$AK$100, MATCH($E151, INDEX(REDBOOKSearchResults!$A$1:$AK$100, 0, MATCH($E$1, REDBOOKSearchResults!$1:$1, 0)), 0), MATCH(G$1, REDBOOKSearchResults!$1:$1, 0))</f>
        <v>21s ea</v>
      </c>
    </row>
    <row r="152" spans="1:7" x14ac:dyDescent="0.2">
      <c r="A152" t="str">
        <f t="shared" si="9"/>
        <v>POMALYST</v>
      </c>
      <c r="B152" s="3">
        <v>43028</v>
      </c>
      <c r="C152" s="4">
        <v>904.74856999999997</v>
      </c>
      <c r="D152" s="4">
        <v>9</v>
      </c>
      <c r="E152" s="1" t="str">
        <f t="shared" si="10"/>
        <v>59572-0501-21</v>
      </c>
      <c r="F152" t="str">
        <f>INDEX(REDBOOKSearchResults!$A$1:$AK$100, MATCH($E152, INDEX(REDBOOKSearchResults!$A$1:$AK$100, 0, MATCH($E$1, REDBOOKSearchResults!$1:$1, 0)), 0), MATCH(F$1, REDBOOKSearchResults!$1:$1, 0))</f>
        <v>1 mg</v>
      </c>
      <c r="G152" t="str">
        <f>INDEX(REDBOOKSearchResults!$A$1:$AK$100, MATCH($E152, INDEX(REDBOOKSearchResults!$A$1:$AK$100, 0, MATCH($E$1, REDBOOKSearchResults!$1:$1, 0)), 0), MATCH(G$1, REDBOOKSearchResults!$1:$1, 0))</f>
        <v>21s ea</v>
      </c>
    </row>
    <row r="153" spans="1:7" x14ac:dyDescent="0.2">
      <c r="A153" t="str">
        <f t="shared" si="9"/>
        <v>POMALYST</v>
      </c>
      <c r="B153" s="3">
        <v>42830</v>
      </c>
      <c r="C153" s="4">
        <v>830.04476</v>
      </c>
      <c r="D153" s="4">
        <v>8</v>
      </c>
      <c r="E153" s="1" t="str">
        <f t="shared" si="10"/>
        <v>59572-0501-21</v>
      </c>
      <c r="F153" t="str">
        <f>INDEX(REDBOOKSearchResults!$A$1:$AK$100, MATCH($E153, INDEX(REDBOOKSearchResults!$A$1:$AK$100, 0, MATCH($E$1, REDBOOKSearchResults!$1:$1, 0)), 0), MATCH(F$1, REDBOOKSearchResults!$1:$1, 0))</f>
        <v>1 mg</v>
      </c>
      <c r="G153" t="str">
        <f>INDEX(REDBOOKSearchResults!$A$1:$AK$100, MATCH($E153, INDEX(REDBOOKSearchResults!$A$1:$AK$100, 0, MATCH($E$1, REDBOOKSearchResults!$1:$1, 0)), 0), MATCH(G$1, REDBOOKSearchResults!$1:$1, 0))</f>
        <v>21s ea</v>
      </c>
    </row>
    <row r="154" spans="1:7" x14ac:dyDescent="0.2">
      <c r="A154" t="str">
        <f t="shared" si="9"/>
        <v>POMALYST</v>
      </c>
      <c r="B154" s="3">
        <v>42602</v>
      </c>
      <c r="C154" s="4">
        <v>768.56</v>
      </c>
      <c r="D154" s="4">
        <v>3</v>
      </c>
      <c r="E154" s="1" t="str">
        <f t="shared" si="10"/>
        <v>59572-0501-21</v>
      </c>
      <c r="F154" t="str">
        <f>INDEX(REDBOOKSearchResults!$A$1:$AK$100, MATCH($E154, INDEX(REDBOOKSearchResults!$A$1:$AK$100, 0, MATCH($E$1, REDBOOKSearchResults!$1:$1, 0)), 0), MATCH(F$1, REDBOOKSearchResults!$1:$1, 0))</f>
        <v>1 mg</v>
      </c>
      <c r="G154" t="str">
        <f>INDEX(REDBOOKSearchResults!$A$1:$AK$100, MATCH($E154, INDEX(REDBOOKSearchResults!$A$1:$AK$100, 0, MATCH($E$1, REDBOOKSearchResults!$1:$1, 0)), 0), MATCH(G$1, REDBOOKSearchResults!$1:$1, 0))</f>
        <v>21s ea</v>
      </c>
    </row>
    <row r="155" spans="1:7" x14ac:dyDescent="0.2">
      <c r="A155" t="str">
        <f t="shared" si="9"/>
        <v>POMALYST</v>
      </c>
      <c r="B155" s="3">
        <v>42439</v>
      </c>
      <c r="C155" s="4">
        <v>746.17475999999999</v>
      </c>
      <c r="D155" s="4">
        <v>6.8</v>
      </c>
      <c r="E155" s="1" t="str">
        <f t="shared" si="10"/>
        <v>59572-0501-21</v>
      </c>
      <c r="F155" t="str">
        <f>INDEX(REDBOOKSearchResults!$A$1:$AK$100, MATCH($E155, INDEX(REDBOOKSearchResults!$A$1:$AK$100, 0, MATCH($E$1, REDBOOKSearchResults!$1:$1, 0)), 0), MATCH(F$1, REDBOOKSearchResults!$1:$1, 0))</f>
        <v>1 mg</v>
      </c>
      <c r="G155" t="str">
        <f>INDEX(REDBOOKSearchResults!$A$1:$AK$100, MATCH($E155, INDEX(REDBOOKSearchResults!$A$1:$AK$100, 0, MATCH($E$1, REDBOOKSearchResults!$1:$1, 0)), 0), MATCH(G$1, REDBOOKSearchResults!$1:$1, 0))</f>
        <v>21s ea</v>
      </c>
    </row>
    <row r="156" spans="1:7" x14ac:dyDescent="0.2">
      <c r="A156" t="str">
        <f t="shared" si="9"/>
        <v>POMALYST</v>
      </c>
      <c r="B156" s="3">
        <v>42279</v>
      </c>
      <c r="C156" s="4">
        <v>698.66570999999999</v>
      </c>
      <c r="D156" s="4">
        <v>4</v>
      </c>
      <c r="E156" s="1" t="str">
        <f t="shared" si="10"/>
        <v>59572-0501-21</v>
      </c>
      <c r="F156" t="str">
        <f>INDEX(REDBOOKSearchResults!$A$1:$AK$100, MATCH($E156, INDEX(REDBOOKSearchResults!$A$1:$AK$100, 0, MATCH($E$1, REDBOOKSearchResults!$1:$1, 0)), 0), MATCH(F$1, REDBOOKSearchResults!$1:$1, 0))</f>
        <v>1 mg</v>
      </c>
      <c r="G156" t="str">
        <f>INDEX(REDBOOKSearchResults!$A$1:$AK$100, MATCH($E156, INDEX(REDBOOKSearchResults!$A$1:$AK$100, 0, MATCH($E$1, REDBOOKSearchResults!$1:$1, 0)), 0), MATCH(G$1, REDBOOKSearchResults!$1:$1, 0))</f>
        <v>21s ea</v>
      </c>
    </row>
    <row r="157" spans="1:7" x14ac:dyDescent="0.2">
      <c r="A157" t="str">
        <f t="shared" si="9"/>
        <v>POMALYST</v>
      </c>
      <c r="B157" s="3">
        <v>42180</v>
      </c>
      <c r="C157" s="4">
        <v>671.79381000000001</v>
      </c>
      <c r="D157" s="4">
        <v>3</v>
      </c>
      <c r="E157" s="1" t="str">
        <f t="shared" si="10"/>
        <v>59572-0501-21</v>
      </c>
      <c r="F157" t="str">
        <f>INDEX(REDBOOKSearchResults!$A$1:$AK$100, MATCH($E157, INDEX(REDBOOKSearchResults!$A$1:$AK$100, 0, MATCH($E$1, REDBOOKSearchResults!$1:$1, 0)), 0), MATCH(F$1, REDBOOKSearchResults!$1:$1, 0))</f>
        <v>1 mg</v>
      </c>
      <c r="G157" t="str">
        <f>INDEX(REDBOOKSearchResults!$A$1:$AK$100, MATCH($E157, INDEX(REDBOOKSearchResults!$A$1:$AK$100, 0, MATCH($E$1, REDBOOKSearchResults!$1:$1, 0)), 0), MATCH(G$1, REDBOOKSearchResults!$1:$1, 0))</f>
        <v>21s ea</v>
      </c>
    </row>
    <row r="158" spans="1:7" x14ac:dyDescent="0.2">
      <c r="A158" t="str">
        <f t="shared" si="9"/>
        <v>POMALYST</v>
      </c>
      <c r="B158" s="3">
        <v>41996</v>
      </c>
      <c r="C158" s="4">
        <v>652.22667000000001</v>
      </c>
      <c r="D158" s="4">
        <v>3</v>
      </c>
      <c r="E158" s="1" t="str">
        <f t="shared" si="10"/>
        <v>59572-0501-21</v>
      </c>
      <c r="F158" t="str">
        <f>INDEX(REDBOOKSearchResults!$A$1:$AK$100, MATCH($E158, INDEX(REDBOOKSearchResults!$A$1:$AK$100, 0, MATCH($E$1, REDBOOKSearchResults!$1:$1, 0)), 0), MATCH(F$1, REDBOOKSearchResults!$1:$1, 0))</f>
        <v>1 mg</v>
      </c>
      <c r="G158" t="str">
        <f>INDEX(REDBOOKSearchResults!$A$1:$AK$100, MATCH($E158, INDEX(REDBOOKSearchResults!$A$1:$AK$100, 0, MATCH($E$1, REDBOOKSearchResults!$1:$1, 0)), 0), MATCH(G$1, REDBOOKSearchResults!$1:$1, 0))</f>
        <v>21s ea</v>
      </c>
    </row>
    <row r="159" spans="1:7" x14ac:dyDescent="0.2">
      <c r="A159" t="str">
        <f t="shared" si="9"/>
        <v>POMALYST</v>
      </c>
      <c r="B159" s="3">
        <v>41830</v>
      </c>
      <c r="C159" s="4">
        <v>633.22951999999998</v>
      </c>
      <c r="D159" s="4">
        <v>3</v>
      </c>
      <c r="E159" s="1" t="str">
        <f t="shared" si="10"/>
        <v>59572-0501-21</v>
      </c>
      <c r="F159" t="str">
        <f>INDEX(REDBOOKSearchResults!$A$1:$AK$100, MATCH($E159, INDEX(REDBOOKSearchResults!$A$1:$AK$100, 0, MATCH($E$1, REDBOOKSearchResults!$1:$1, 0)), 0), MATCH(F$1, REDBOOKSearchResults!$1:$1, 0))</f>
        <v>1 mg</v>
      </c>
      <c r="G159" t="str">
        <f>INDEX(REDBOOKSearchResults!$A$1:$AK$100, MATCH($E159, INDEX(REDBOOKSearchResults!$A$1:$AK$100, 0, MATCH($E$1, REDBOOKSearchResults!$1:$1, 0)), 0), MATCH(G$1, REDBOOKSearchResults!$1:$1, 0))</f>
        <v>21s ea</v>
      </c>
    </row>
    <row r="160" spans="1:7" x14ac:dyDescent="0.2">
      <c r="A160" t="str">
        <f t="shared" si="9"/>
        <v>POMALYST</v>
      </c>
      <c r="B160" s="3">
        <v>41650</v>
      </c>
      <c r="C160" s="4">
        <v>614.78619000000003</v>
      </c>
      <c r="D160" s="4">
        <v>3</v>
      </c>
      <c r="E160" s="1" t="str">
        <f t="shared" si="10"/>
        <v>59572-0501-21</v>
      </c>
      <c r="F160" t="str">
        <f>INDEX(REDBOOKSearchResults!$A$1:$AK$100, MATCH($E160, INDEX(REDBOOKSearchResults!$A$1:$AK$100, 0, MATCH($E$1, REDBOOKSearchResults!$1:$1, 0)), 0), MATCH(F$1, REDBOOKSearchResults!$1:$1, 0))</f>
        <v>1 mg</v>
      </c>
      <c r="G160" t="str">
        <f>INDEX(REDBOOKSearchResults!$A$1:$AK$100, MATCH($E160, INDEX(REDBOOKSearchResults!$A$1:$AK$100, 0, MATCH($E$1, REDBOOKSearchResults!$1:$1, 0)), 0), MATCH(G$1, REDBOOKSearchResults!$1:$1, 0))</f>
        <v>21s ea</v>
      </c>
    </row>
    <row r="161" spans="1:7" x14ac:dyDescent="0.2">
      <c r="A161" t="str">
        <f t="shared" si="9"/>
        <v>POMALYST</v>
      </c>
      <c r="B161" s="3">
        <v>41316</v>
      </c>
      <c r="C161" s="4">
        <v>596.88</v>
      </c>
      <c r="D161" s="4">
        <v>0</v>
      </c>
      <c r="E161" s="1" t="str">
        <f t="shared" si="10"/>
        <v>59572-0501-21</v>
      </c>
      <c r="F161" t="str">
        <f>INDEX(REDBOOKSearchResults!$A$1:$AK$100, MATCH($E161, INDEX(REDBOOKSearchResults!$A$1:$AK$100, 0, MATCH($E$1, REDBOOKSearchResults!$1:$1, 0)), 0), MATCH(F$1, REDBOOKSearchResults!$1:$1, 0))</f>
        <v>1 mg</v>
      </c>
      <c r="G161" t="str">
        <f>INDEX(REDBOOKSearchResults!$A$1:$AK$100, MATCH($E161, INDEX(REDBOOKSearchResults!$A$1:$AK$100, 0, MATCH($E$1, REDBOOKSearchResults!$1:$1, 0)), 0), MATCH(G$1, REDBOOKSearchResults!$1:$1, 0))</f>
        <v>21s ea</v>
      </c>
    </row>
  </sheetData>
  <sheetCalcPr fullCalcOnLoa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Manufacturer Info</vt:lpstr>
      <vt:lpstr>REDBOOKSearchResults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commons1</cp:lastModifiedBy>
  <dcterms:created xsi:type="dcterms:W3CDTF">2026-01-13T16:41:21Z</dcterms:created>
  <dcterms:modified xsi:type="dcterms:W3CDTF">2026-01-13T17:10:09Z</dcterms:modified>
</cp:coreProperties>
</file>