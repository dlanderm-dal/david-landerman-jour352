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avidlanderman/UMD Drive/Github/david-landerman-jour352/final_project/data/REDBOOK/Revlimid/"/>
    </mc:Choice>
  </mc:AlternateContent>
  <xr:revisionPtr revIDLastSave="0" documentId="13_ncr:1_{04F90DD8-DD1E-A240-9840-C987FC32948B}" xr6:coauthVersionLast="47" xr6:coauthVersionMax="47" xr10:uidLastSave="{00000000-0000-0000-0000-000000000000}"/>
  <bookViews>
    <workbookView xWindow="0" yWindow="660" windowWidth="28800" windowHeight="18980" activeTab="3" xr2:uid="{00000000-000D-0000-FFFF-FFFF00000000}"/>
  </bookViews>
  <sheets>
    <sheet name="Manufacturer Info" sheetId="1" r:id="rId1"/>
    <sheet name="REDBOOKSearchResults" sheetId="2" r:id="rId2"/>
    <sheet name="Revlimid_Price_Csv" sheetId="3" r:id="rId3"/>
    <sheet name="Sheet3" sheetId="5" r:id="rId4"/>
    <sheet name="Sheet2" sheetId="4" r:id="rId5"/>
    <sheet name="Sheet4" sheetId="6" r:id="rId6"/>
    <sheet name="Sheet1" sheetId="7" r:id="rId7"/>
  </sheets>
  <externalReferences>
    <externalReference r:id="rId8"/>
  </externalReferenc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7" l="1"/>
  <c r="L28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3" i="7"/>
  <c r="F29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3" i="7"/>
  <c r="G19" i="6" l="1"/>
  <c r="G20" i="6"/>
  <c r="G21" i="6"/>
  <c r="G22" i="6"/>
  <c r="G23" i="6"/>
  <c r="G16" i="6"/>
  <c r="F22" i="6"/>
  <c r="F18" i="6"/>
  <c r="F17" i="6"/>
  <c r="F16" i="6"/>
  <c r="C31" i="6"/>
  <c r="C30" i="6"/>
  <c r="C29" i="6"/>
  <c r="C28" i="6"/>
  <c r="C23" i="6"/>
  <c r="C22" i="6"/>
  <c r="C21" i="6"/>
  <c r="C20" i="6"/>
  <c r="C17" i="6"/>
  <c r="C16" i="6"/>
  <c r="C15" i="6"/>
  <c r="C14" i="6"/>
  <c r="G2" i="6"/>
  <c r="C9" i="6" s="1"/>
  <c r="F3" i="6"/>
  <c r="G3" i="6"/>
  <c r="G17" i="6" s="1"/>
  <c r="G4" i="6"/>
  <c r="G18" i="6" s="1"/>
  <c r="F5" i="6"/>
  <c r="F6" i="6" s="1"/>
  <c r="F7" i="6" s="1"/>
  <c r="F21" i="6" s="1"/>
  <c r="G5" i="6"/>
  <c r="G6" i="6"/>
  <c r="C19" i="6" s="1"/>
  <c r="G7" i="6"/>
  <c r="G8" i="6"/>
  <c r="F9" i="6"/>
  <c r="F23" i="6" s="1"/>
  <c r="G9" i="6"/>
  <c r="C25" i="6" s="1"/>
  <c r="F10" i="6"/>
  <c r="F11" i="6" s="1"/>
  <c r="F12" i="6" s="1"/>
  <c r="F13" i="6" s="1"/>
  <c r="F14" i="6" s="1"/>
  <c r="F15" i="6" s="1"/>
  <c r="F29" i="6" s="1"/>
  <c r="G10" i="6"/>
  <c r="C27" i="6" s="1"/>
  <c r="G11" i="6"/>
  <c r="G25" i="6" s="1"/>
  <c r="G12" i="6"/>
  <c r="G26" i="6" s="1"/>
  <c r="G13" i="6"/>
  <c r="G27" i="6" s="1"/>
  <c r="G14" i="6"/>
  <c r="G28" i="6" s="1"/>
  <c r="G15" i="6"/>
  <c r="G29" i="6" s="1"/>
  <c r="F25" i="6" l="1"/>
  <c r="C12" i="6"/>
  <c r="F19" i="6"/>
  <c r="G24" i="6"/>
  <c r="C13" i="6"/>
  <c r="F27" i="6"/>
  <c r="F24" i="6"/>
  <c r="C10" i="6"/>
  <c r="C18" i="6"/>
  <c r="C26" i="6"/>
  <c r="F28" i="6"/>
  <c r="F26" i="6"/>
  <c r="C24" i="6"/>
  <c r="C11" i="6"/>
  <c r="F20" i="6"/>
  <c r="C44" i="5" l="1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D43" i="5"/>
  <c r="C43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T5" i="5"/>
  <c r="S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R5" i="5"/>
  <c r="Q5" i="5"/>
  <c r="P5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B43" i="5"/>
  <c r="A43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5" i="5"/>
  <c r="A2" i="3"/>
  <c r="B2" i="3"/>
  <c r="C2" i="3"/>
  <c r="D2" i="3"/>
  <c r="A282" i="3"/>
  <c r="B282" i="3"/>
  <c r="C282" i="3"/>
  <c r="A283" i="3"/>
  <c r="B283" i="3"/>
  <c r="C283" i="3"/>
  <c r="A261" i="3"/>
  <c r="B261" i="3"/>
  <c r="C261" i="3"/>
  <c r="A262" i="3"/>
  <c r="B262" i="3"/>
  <c r="C262" i="3"/>
  <c r="A263" i="3"/>
  <c r="B263" i="3"/>
  <c r="C263" i="3"/>
  <c r="A264" i="3"/>
  <c r="B264" i="3"/>
  <c r="C264" i="3"/>
  <c r="A265" i="3"/>
  <c r="B265" i="3"/>
  <c r="C265" i="3"/>
  <c r="A266" i="3"/>
  <c r="B266" i="3"/>
  <c r="C266" i="3"/>
  <c r="A267" i="3"/>
  <c r="B267" i="3"/>
  <c r="C267" i="3"/>
  <c r="A268" i="3"/>
  <c r="B268" i="3"/>
  <c r="C268" i="3"/>
  <c r="A269" i="3"/>
  <c r="B269" i="3"/>
  <c r="C269" i="3"/>
  <c r="A270" i="3"/>
  <c r="B270" i="3"/>
  <c r="C270" i="3"/>
  <c r="A271" i="3"/>
  <c r="B271" i="3"/>
  <c r="C271" i="3"/>
  <c r="A272" i="3"/>
  <c r="B272" i="3"/>
  <c r="C272" i="3"/>
  <c r="A273" i="3"/>
  <c r="B273" i="3"/>
  <c r="C273" i="3"/>
  <c r="A274" i="3"/>
  <c r="B274" i="3"/>
  <c r="C274" i="3"/>
  <c r="A275" i="3"/>
  <c r="B275" i="3"/>
  <c r="C275" i="3"/>
  <c r="A276" i="3"/>
  <c r="B276" i="3"/>
  <c r="C276" i="3"/>
  <c r="A277" i="3"/>
  <c r="B277" i="3"/>
  <c r="C277" i="3"/>
  <c r="A278" i="3"/>
  <c r="B278" i="3"/>
  <c r="C278" i="3"/>
  <c r="A279" i="3"/>
  <c r="B279" i="3"/>
  <c r="C279" i="3"/>
  <c r="A280" i="3"/>
  <c r="B280" i="3"/>
  <c r="C280" i="3"/>
  <c r="A281" i="3"/>
  <c r="B281" i="3"/>
  <c r="C281" i="3"/>
  <c r="B260" i="3"/>
  <c r="C260" i="3"/>
  <c r="A260" i="3"/>
  <c r="A257" i="3"/>
  <c r="B257" i="3"/>
  <c r="C257" i="3"/>
  <c r="A258" i="3"/>
  <c r="B258" i="3"/>
  <c r="C258" i="3"/>
  <c r="A259" i="3"/>
  <c r="B259" i="3"/>
  <c r="C259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A252" i="3"/>
  <c r="B252" i="3"/>
  <c r="C252" i="3"/>
  <c r="A253" i="3"/>
  <c r="B253" i="3"/>
  <c r="C253" i="3"/>
  <c r="A254" i="3"/>
  <c r="B254" i="3"/>
  <c r="C254" i="3"/>
  <c r="A255" i="3"/>
  <c r="B255" i="3"/>
  <c r="C255" i="3"/>
  <c r="A256" i="3"/>
  <c r="B256" i="3"/>
  <c r="C256" i="3"/>
  <c r="B233" i="3"/>
  <c r="C233" i="3"/>
  <c r="A233" i="3"/>
  <c r="A207" i="3"/>
  <c r="B207" i="3"/>
  <c r="C207" i="3"/>
  <c r="A208" i="3"/>
  <c r="B208" i="3"/>
  <c r="C208" i="3"/>
  <c r="A209" i="3"/>
  <c r="B209" i="3"/>
  <c r="C209" i="3"/>
  <c r="A210" i="3"/>
  <c r="B210" i="3"/>
  <c r="C210" i="3"/>
  <c r="A211" i="3"/>
  <c r="B211" i="3"/>
  <c r="C211" i="3"/>
  <c r="A212" i="3"/>
  <c r="B212" i="3"/>
  <c r="C212" i="3"/>
  <c r="A213" i="3"/>
  <c r="B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B206" i="3"/>
  <c r="C206" i="3"/>
  <c r="A206" i="3"/>
  <c r="A180" i="3"/>
  <c r="B180" i="3"/>
  <c r="C180" i="3"/>
  <c r="A181" i="3"/>
  <c r="B181" i="3"/>
  <c r="C181" i="3"/>
  <c r="A182" i="3"/>
  <c r="B182" i="3"/>
  <c r="C182" i="3"/>
  <c r="A183" i="3"/>
  <c r="B183" i="3"/>
  <c r="C183" i="3"/>
  <c r="A184" i="3"/>
  <c r="B184" i="3"/>
  <c r="C184" i="3"/>
  <c r="A185" i="3"/>
  <c r="B185" i="3"/>
  <c r="C185" i="3"/>
  <c r="A186" i="3"/>
  <c r="B186" i="3"/>
  <c r="C186" i="3"/>
  <c r="A187" i="3"/>
  <c r="B187" i="3"/>
  <c r="C187" i="3"/>
  <c r="A188" i="3"/>
  <c r="B188" i="3"/>
  <c r="C188" i="3"/>
  <c r="A189" i="3"/>
  <c r="B189" i="3"/>
  <c r="C189" i="3"/>
  <c r="A190" i="3"/>
  <c r="B190" i="3"/>
  <c r="C190" i="3"/>
  <c r="A191" i="3"/>
  <c r="B191" i="3"/>
  <c r="C191" i="3"/>
  <c r="A192" i="3"/>
  <c r="B192" i="3"/>
  <c r="C192" i="3"/>
  <c r="A193" i="3"/>
  <c r="B193" i="3"/>
  <c r="C193" i="3"/>
  <c r="A194" i="3"/>
  <c r="B194" i="3"/>
  <c r="C194" i="3"/>
  <c r="A195" i="3"/>
  <c r="B195" i="3"/>
  <c r="C195" i="3"/>
  <c r="A196" i="3"/>
  <c r="B196" i="3"/>
  <c r="C196" i="3"/>
  <c r="A197" i="3"/>
  <c r="B197" i="3"/>
  <c r="C197" i="3"/>
  <c r="A198" i="3"/>
  <c r="B198" i="3"/>
  <c r="C198" i="3"/>
  <c r="A199" i="3"/>
  <c r="B199" i="3"/>
  <c r="C199" i="3"/>
  <c r="A200" i="3"/>
  <c r="B200" i="3"/>
  <c r="C200" i="3"/>
  <c r="A201" i="3"/>
  <c r="B201" i="3"/>
  <c r="C201" i="3"/>
  <c r="A202" i="3"/>
  <c r="B202" i="3"/>
  <c r="C202" i="3"/>
  <c r="A203" i="3"/>
  <c r="B203" i="3"/>
  <c r="C203" i="3"/>
  <c r="A204" i="3"/>
  <c r="B204" i="3"/>
  <c r="C204" i="3"/>
  <c r="A205" i="3"/>
  <c r="B205" i="3"/>
  <c r="C205" i="3"/>
  <c r="B179" i="3"/>
  <c r="C179" i="3"/>
  <c r="A179" i="3"/>
  <c r="A157" i="3"/>
  <c r="B157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C161" i="3"/>
  <c r="A162" i="3"/>
  <c r="B162" i="3"/>
  <c r="C162" i="3"/>
  <c r="A163" i="3"/>
  <c r="B163" i="3"/>
  <c r="C163" i="3"/>
  <c r="A164" i="3"/>
  <c r="B164" i="3"/>
  <c r="C164" i="3"/>
  <c r="A165" i="3"/>
  <c r="B165" i="3"/>
  <c r="C165" i="3"/>
  <c r="A166" i="3"/>
  <c r="B166" i="3"/>
  <c r="C166" i="3"/>
  <c r="A167" i="3"/>
  <c r="B167" i="3"/>
  <c r="C167" i="3"/>
  <c r="A168" i="3"/>
  <c r="B168" i="3"/>
  <c r="C168" i="3"/>
  <c r="A169" i="3"/>
  <c r="B169" i="3"/>
  <c r="C169" i="3"/>
  <c r="A170" i="3"/>
  <c r="B170" i="3"/>
  <c r="C170" i="3"/>
  <c r="A171" i="3"/>
  <c r="B171" i="3"/>
  <c r="C171" i="3"/>
  <c r="A172" i="3"/>
  <c r="B172" i="3"/>
  <c r="C172" i="3"/>
  <c r="A173" i="3"/>
  <c r="B173" i="3"/>
  <c r="C173" i="3"/>
  <c r="A174" i="3"/>
  <c r="B174" i="3"/>
  <c r="C174" i="3"/>
  <c r="A175" i="3"/>
  <c r="B175" i="3"/>
  <c r="C175" i="3"/>
  <c r="A176" i="3"/>
  <c r="B176" i="3"/>
  <c r="C176" i="3"/>
  <c r="A177" i="3"/>
  <c r="B177" i="3"/>
  <c r="C177" i="3"/>
  <c r="A178" i="3"/>
  <c r="B178" i="3"/>
  <c r="C178" i="3"/>
  <c r="B156" i="3"/>
  <c r="C156" i="3"/>
  <c r="A156" i="3"/>
  <c r="A154" i="3"/>
  <c r="B154" i="3"/>
  <c r="C154" i="3"/>
  <c r="A155" i="3"/>
  <c r="B155" i="3"/>
  <c r="C155" i="3"/>
  <c r="A148" i="3"/>
  <c r="B148" i="3"/>
  <c r="C148" i="3"/>
  <c r="A149" i="3"/>
  <c r="B149" i="3"/>
  <c r="C149" i="3"/>
  <c r="A150" i="3"/>
  <c r="B150" i="3"/>
  <c r="C150" i="3"/>
  <c r="A151" i="3"/>
  <c r="B151" i="3"/>
  <c r="C151" i="3"/>
  <c r="A152" i="3"/>
  <c r="B152" i="3"/>
  <c r="C152" i="3"/>
  <c r="A153" i="3"/>
  <c r="B153" i="3"/>
  <c r="C153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A143" i="3"/>
  <c r="B143" i="3"/>
  <c r="C143" i="3"/>
  <c r="A144" i="3"/>
  <c r="B144" i="3"/>
  <c r="C144" i="3"/>
  <c r="A145" i="3"/>
  <c r="B145" i="3"/>
  <c r="C145" i="3"/>
  <c r="A146" i="3"/>
  <c r="B146" i="3"/>
  <c r="C146" i="3"/>
  <c r="A147" i="3"/>
  <c r="B147" i="3"/>
  <c r="C147" i="3"/>
  <c r="B130" i="3"/>
  <c r="C130" i="3"/>
  <c r="A13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B110" i="3"/>
  <c r="C110" i="3"/>
  <c r="A110" i="3"/>
  <c r="A108" i="3"/>
  <c r="B108" i="3"/>
  <c r="C108" i="3"/>
  <c r="A109" i="3"/>
  <c r="B109" i="3"/>
  <c r="C109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A102" i="3"/>
  <c r="B102" i="3"/>
  <c r="C102" i="3"/>
  <c r="A103" i="3"/>
  <c r="B103" i="3"/>
  <c r="C103" i="3"/>
  <c r="A104" i="3"/>
  <c r="B104" i="3"/>
  <c r="C104" i="3"/>
  <c r="A105" i="3"/>
  <c r="B105" i="3"/>
  <c r="C105" i="3"/>
  <c r="A106" i="3"/>
  <c r="B106" i="3"/>
  <c r="C106" i="3"/>
  <c r="A107" i="3"/>
  <c r="B107" i="3"/>
  <c r="C107" i="3"/>
  <c r="B90" i="3"/>
  <c r="C90" i="3"/>
  <c r="A90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B72" i="3"/>
  <c r="C72" i="3"/>
  <c r="A72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B54" i="3"/>
  <c r="C54" i="3"/>
  <c r="A54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B30" i="3"/>
  <c r="C30" i="3"/>
  <c r="A30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O36" i="2"/>
  <c r="D55" i="3" s="1"/>
  <c r="O37" i="2"/>
  <c r="D56" i="3" s="1"/>
  <c r="O38" i="2"/>
  <c r="D57" i="3" s="1"/>
  <c r="O39" i="2"/>
  <c r="D58" i="3" s="1"/>
  <c r="O40" i="2"/>
  <c r="D59" i="3" s="1"/>
  <c r="O41" i="2"/>
  <c r="D60" i="3" s="1"/>
  <c r="O42" i="2"/>
  <c r="D61" i="3" s="1"/>
  <c r="O43" i="2"/>
  <c r="D62" i="3" s="1"/>
  <c r="O44" i="2"/>
  <c r="D63" i="3" s="1"/>
  <c r="O45" i="2"/>
  <c r="D64" i="3" s="1"/>
  <c r="O46" i="2"/>
  <c r="D65" i="3" s="1"/>
  <c r="O47" i="2"/>
  <c r="D66" i="3" s="1"/>
  <c r="O48" i="2"/>
  <c r="D67" i="3" s="1"/>
  <c r="O49" i="2"/>
  <c r="D68" i="3" s="1"/>
  <c r="O50" i="2"/>
  <c r="D69" i="3" s="1"/>
  <c r="O51" i="2"/>
  <c r="D70" i="3" s="1"/>
  <c r="O52" i="2"/>
  <c r="D71" i="3" s="1"/>
  <c r="T36" i="2"/>
  <c r="D73" i="3" s="1"/>
  <c r="T37" i="2"/>
  <c r="D74" i="3" s="1"/>
  <c r="T38" i="2"/>
  <c r="D75" i="3" s="1"/>
  <c r="T39" i="2"/>
  <c r="D76" i="3" s="1"/>
  <c r="T40" i="2"/>
  <c r="D77" i="3" s="1"/>
  <c r="T41" i="2"/>
  <c r="D78" i="3" s="1"/>
  <c r="T42" i="2"/>
  <c r="D79" i="3" s="1"/>
  <c r="T43" i="2"/>
  <c r="D80" i="3" s="1"/>
  <c r="T44" i="2"/>
  <c r="D81" i="3" s="1"/>
  <c r="T45" i="2"/>
  <c r="D82" i="3" s="1"/>
  <c r="T46" i="2"/>
  <c r="D83" i="3" s="1"/>
  <c r="T47" i="2"/>
  <c r="D84" i="3" s="1"/>
  <c r="T48" i="2"/>
  <c r="D85" i="3" s="1"/>
  <c r="T49" i="2"/>
  <c r="D86" i="3" s="1"/>
  <c r="T50" i="2"/>
  <c r="D87" i="3" s="1"/>
  <c r="T51" i="2"/>
  <c r="D88" i="3" s="1"/>
  <c r="T52" i="2"/>
  <c r="D89" i="3" s="1"/>
  <c r="Y36" i="2"/>
  <c r="D91" i="3" s="1"/>
  <c r="Y37" i="2"/>
  <c r="D92" i="3" s="1"/>
  <c r="Y38" i="2"/>
  <c r="D93" i="3" s="1"/>
  <c r="Y39" i="2"/>
  <c r="D94" i="3" s="1"/>
  <c r="Y40" i="2"/>
  <c r="D95" i="3" s="1"/>
  <c r="Y41" i="2"/>
  <c r="D96" i="3" s="1"/>
  <c r="Y42" i="2"/>
  <c r="D97" i="3" s="1"/>
  <c r="Y43" i="2"/>
  <c r="D98" i="3" s="1"/>
  <c r="Y44" i="2"/>
  <c r="D99" i="3" s="1"/>
  <c r="Y45" i="2"/>
  <c r="D100" i="3" s="1"/>
  <c r="Y46" i="2"/>
  <c r="D101" i="3" s="1"/>
  <c r="Y47" i="2"/>
  <c r="D102" i="3" s="1"/>
  <c r="Y48" i="2"/>
  <c r="D103" i="3" s="1"/>
  <c r="Y49" i="2"/>
  <c r="D104" i="3" s="1"/>
  <c r="Y50" i="2"/>
  <c r="D105" i="3" s="1"/>
  <c r="Y51" i="2"/>
  <c r="D106" i="3" s="1"/>
  <c r="Y52" i="2"/>
  <c r="D107" i="3" s="1"/>
  <c r="Y53" i="2"/>
  <c r="D108" i="3" s="1"/>
  <c r="Y54" i="2"/>
  <c r="D109" i="3" s="1"/>
  <c r="AD36" i="2"/>
  <c r="D111" i="3" s="1"/>
  <c r="AD37" i="2"/>
  <c r="D112" i="3" s="1"/>
  <c r="AD38" i="2"/>
  <c r="D113" i="3" s="1"/>
  <c r="F113" i="3" s="1"/>
  <c r="AD39" i="2"/>
  <c r="D114" i="3" s="1"/>
  <c r="AD40" i="2"/>
  <c r="D115" i="3" s="1"/>
  <c r="AD41" i="2"/>
  <c r="D116" i="3" s="1"/>
  <c r="AD42" i="2"/>
  <c r="D117" i="3" s="1"/>
  <c r="AD43" i="2"/>
  <c r="D118" i="3" s="1"/>
  <c r="AD44" i="2"/>
  <c r="D119" i="3" s="1"/>
  <c r="AD45" i="2"/>
  <c r="D120" i="3" s="1"/>
  <c r="AD46" i="2"/>
  <c r="D121" i="3" s="1"/>
  <c r="F121" i="3" s="1"/>
  <c r="AD47" i="2"/>
  <c r="D122" i="3" s="1"/>
  <c r="AD48" i="2"/>
  <c r="D123" i="3" s="1"/>
  <c r="AD49" i="2"/>
  <c r="D124" i="3" s="1"/>
  <c r="AD50" i="2"/>
  <c r="D125" i="3" s="1"/>
  <c r="AD51" i="2"/>
  <c r="D126" i="3" s="1"/>
  <c r="AD52" i="2"/>
  <c r="D127" i="3" s="1"/>
  <c r="AD53" i="2"/>
  <c r="D128" i="3" s="1"/>
  <c r="AD54" i="2"/>
  <c r="D129" i="3" s="1"/>
  <c r="AI36" i="2"/>
  <c r="D131" i="3" s="1"/>
  <c r="AI37" i="2"/>
  <c r="D132" i="3" s="1"/>
  <c r="AI38" i="2"/>
  <c r="D133" i="3" s="1"/>
  <c r="F133" i="3" s="1"/>
  <c r="AI39" i="2"/>
  <c r="D134" i="3" s="1"/>
  <c r="AI40" i="2"/>
  <c r="D135" i="3" s="1"/>
  <c r="AI41" i="2"/>
  <c r="D136" i="3" s="1"/>
  <c r="AI42" i="2"/>
  <c r="D137" i="3" s="1"/>
  <c r="AI43" i="2"/>
  <c r="D138" i="3" s="1"/>
  <c r="AI44" i="2"/>
  <c r="D139" i="3" s="1"/>
  <c r="AI45" i="2"/>
  <c r="D140" i="3" s="1"/>
  <c r="AI46" i="2"/>
  <c r="D141" i="3" s="1"/>
  <c r="F141" i="3" s="1"/>
  <c r="AI47" i="2"/>
  <c r="D142" i="3" s="1"/>
  <c r="AI48" i="2"/>
  <c r="D143" i="3" s="1"/>
  <c r="AI49" i="2"/>
  <c r="D144" i="3" s="1"/>
  <c r="AI50" i="2"/>
  <c r="D145" i="3" s="1"/>
  <c r="F145" i="3" s="1"/>
  <c r="AI51" i="2"/>
  <c r="D146" i="3" s="1"/>
  <c r="AI52" i="2"/>
  <c r="D147" i="3" s="1"/>
  <c r="AI53" i="2"/>
  <c r="D148" i="3" s="1"/>
  <c r="AI54" i="2"/>
  <c r="D149" i="3" s="1"/>
  <c r="AI55" i="2"/>
  <c r="D150" i="3" s="1"/>
  <c r="AI56" i="2"/>
  <c r="D151" i="3" s="1"/>
  <c r="AI57" i="2"/>
  <c r="D152" i="3" s="1"/>
  <c r="E152" i="3" s="1"/>
  <c r="AI58" i="2"/>
  <c r="D153" i="3" s="1"/>
  <c r="AI59" i="2"/>
  <c r="D154" i="3" s="1"/>
  <c r="AI60" i="2"/>
  <c r="D155" i="3" s="1"/>
  <c r="AM36" i="2"/>
  <c r="D157" i="3" s="1"/>
  <c r="AM37" i="2"/>
  <c r="D158" i="3" s="1"/>
  <c r="AM38" i="2"/>
  <c r="D159" i="3" s="1"/>
  <c r="AM39" i="2"/>
  <c r="D160" i="3" s="1"/>
  <c r="AM40" i="2"/>
  <c r="D161" i="3" s="1"/>
  <c r="AM41" i="2"/>
  <c r="D162" i="3" s="1"/>
  <c r="AM42" i="2"/>
  <c r="D163" i="3" s="1"/>
  <c r="AM43" i="2"/>
  <c r="D164" i="3" s="1"/>
  <c r="E164" i="3" s="1"/>
  <c r="AM44" i="2"/>
  <c r="D165" i="3" s="1"/>
  <c r="AM45" i="2"/>
  <c r="D166" i="3" s="1"/>
  <c r="AM46" i="2"/>
  <c r="D167" i="3" s="1"/>
  <c r="AM47" i="2"/>
  <c r="D168" i="3" s="1"/>
  <c r="F168" i="3" s="1"/>
  <c r="AM48" i="2"/>
  <c r="D169" i="3" s="1"/>
  <c r="AM49" i="2"/>
  <c r="D170" i="3" s="1"/>
  <c r="AM50" i="2"/>
  <c r="D171" i="3" s="1"/>
  <c r="AM51" i="2"/>
  <c r="D172" i="3" s="1"/>
  <c r="AM52" i="2"/>
  <c r="D173" i="3" s="1"/>
  <c r="AM53" i="2"/>
  <c r="D174" i="3" s="1"/>
  <c r="AM54" i="2"/>
  <c r="D175" i="3" s="1"/>
  <c r="AM55" i="2"/>
  <c r="D176" i="3" s="1"/>
  <c r="E176" i="3" s="1"/>
  <c r="AM56" i="2"/>
  <c r="D177" i="3" s="1"/>
  <c r="AM57" i="2"/>
  <c r="D178" i="3" s="1"/>
  <c r="AR36" i="2"/>
  <c r="D180" i="3" s="1"/>
  <c r="AR37" i="2"/>
  <c r="D181" i="3" s="1"/>
  <c r="AR38" i="2"/>
  <c r="D182" i="3" s="1"/>
  <c r="AR39" i="2"/>
  <c r="D183" i="3" s="1"/>
  <c r="AR40" i="2"/>
  <c r="D184" i="3" s="1"/>
  <c r="E184" i="3" s="1"/>
  <c r="AR41" i="2"/>
  <c r="D185" i="3" s="1"/>
  <c r="AR42" i="2"/>
  <c r="D186" i="3" s="1"/>
  <c r="AR43" i="2"/>
  <c r="D187" i="3" s="1"/>
  <c r="AR44" i="2"/>
  <c r="D188" i="3" s="1"/>
  <c r="E188" i="3" s="1"/>
  <c r="AR45" i="2"/>
  <c r="D189" i="3" s="1"/>
  <c r="AR46" i="2"/>
  <c r="D190" i="3" s="1"/>
  <c r="AR47" i="2"/>
  <c r="D191" i="3" s="1"/>
  <c r="AR48" i="2"/>
  <c r="D192" i="3" s="1"/>
  <c r="AR49" i="2"/>
  <c r="D193" i="3" s="1"/>
  <c r="AR50" i="2"/>
  <c r="D194" i="3" s="1"/>
  <c r="AR51" i="2"/>
  <c r="D195" i="3" s="1"/>
  <c r="AR52" i="2"/>
  <c r="D196" i="3" s="1"/>
  <c r="F196" i="3" s="1"/>
  <c r="AR53" i="2"/>
  <c r="D197" i="3" s="1"/>
  <c r="AR54" i="2"/>
  <c r="D198" i="3" s="1"/>
  <c r="AR55" i="2"/>
  <c r="D199" i="3" s="1"/>
  <c r="AR56" i="2"/>
  <c r="D200" i="3" s="1"/>
  <c r="F200" i="3" s="1"/>
  <c r="AR57" i="2"/>
  <c r="D201" i="3" s="1"/>
  <c r="AR58" i="2"/>
  <c r="D202" i="3" s="1"/>
  <c r="AR59" i="2"/>
  <c r="D203" i="3" s="1"/>
  <c r="AR60" i="2"/>
  <c r="D204" i="3" s="1"/>
  <c r="AR61" i="2"/>
  <c r="D205" i="3" s="1"/>
  <c r="AW36" i="2"/>
  <c r="D207" i="3" s="1"/>
  <c r="AW37" i="2"/>
  <c r="D208" i="3" s="1"/>
  <c r="E208" i="3" s="1"/>
  <c r="AW38" i="2"/>
  <c r="D209" i="3" s="1"/>
  <c r="AW39" i="2"/>
  <c r="D210" i="3" s="1"/>
  <c r="AW40" i="2"/>
  <c r="D211" i="3" s="1"/>
  <c r="AW41" i="2"/>
  <c r="D212" i="3" s="1"/>
  <c r="AW42" i="2"/>
  <c r="D213" i="3" s="1"/>
  <c r="AW43" i="2"/>
  <c r="D214" i="3" s="1"/>
  <c r="AW44" i="2"/>
  <c r="D215" i="3" s="1"/>
  <c r="AW45" i="2"/>
  <c r="D216" i="3" s="1"/>
  <c r="E216" i="3" s="1"/>
  <c r="AW46" i="2"/>
  <c r="D217" i="3" s="1"/>
  <c r="AW47" i="2"/>
  <c r="D218" i="3" s="1"/>
  <c r="F218" i="3" s="1"/>
  <c r="AW48" i="2"/>
  <c r="D219" i="3" s="1"/>
  <c r="AW49" i="2"/>
  <c r="D220" i="3" s="1"/>
  <c r="F220" i="3" s="1"/>
  <c r="AW50" i="2"/>
  <c r="D221" i="3" s="1"/>
  <c r="AW51" i="2"/>
  <c r="D222" i="3" s="1"/>
  <c r="AW52" i="2"/>
  <c r="D223" i="3" s="1"/>
  <c r="AW53" i="2"/>
  <c r="D224" i="3" s="1"/>
  <c r="E224" i="3" s="1"/>
  <c r="AW54" i="2"/>
  <c r="D225" i="3" s="1"/>
  <c r="AW55" i="2"/>
  <c r="D226" i="3" s="1"/>
  <c r="F226" i="3" s="1"/>
  <c r="AW56" i="2"/>
  <c r="D227" i="3" s="1"/>
  <c r="AW57" i="2"/>
  <c r="D228" i="3" s="1"/>
  <c r="F228" i="3" s="1"/>
  <c r="AW58" i="2"/>
  <c r="D229" i="3" s="1"/>
  <c r="AW59" i="2"/>
  <c r="D230" i="3" s="1"/>
  <c r="AW60" i="2"/>
  <c r="D231" i="3" s="1"/>
  <c r="AW61" i="2"/>
  <c r="D232" i="3" s="1"/>
  <c r="E232" i="3" s="1"/>
  <c r="BB36" i="2"/>
  <c r="D234" i="3" s="1"/>
  <c r="BB37" i="2"/>
  <c r="D235" i="3" s="1"/>
  <c r="BB38" i="2"/>
  <c r="D236" i="3" s="1"/>
  <c r="BB39" i="2"/>
  <c r="D237" i="3" s="1"/>
  <c r="BB40" i="2"/>
  <c r="D238" i="3" s="1"/>
  <c r="BB41" i="2"/>
  <c r="D239" i="3" s="1"/>
  <c r="BB42" i="2"/>
  <c r="D240" i="3" s="1"/>
  <c r="E240" i="3" s="1"/>
  <c r="BB43" i="2"/>
  <c r="D241" i="3" s="1"/>
  <c r="F241" i="3" s="1"/>
  <c r="BB44" i="2"/>
  <c r="D242" i="3" s="1"/>
  <c r="F242" i="3" s="1"/>
  <c r="BB45" i="2"/>
  <c r="D243" i="3" s="1"/>
  <c r="BB46" i="2"/>
  <c r="D244" i="3" s="1"/>
  <c r="F244" i="3" s="1"/>
  <c r="BB47" i="2"/>
  <c r="D245" i="3" s="1"/>
  <c r="BB48" i="2"/>
  <c r="D246" i="3" s="1"/>
  <c r="BB49" i="2"/>
  <c r="D247" i="3" s="1"/>
  <c r="BB50" i="2"/>
  <c r="D248" i="3" s="1"/>
  <c r="BB51" i="2"/>
  <c r="D249" i="3" s="1"/>
  <c r="F249" i="3" s="1"/>
  <c r="BB52" i="2"/>
  <c r="D250" i="3" s="1"/>
  <c r="BB53" i="2"/>
  <c r="D251" i="3" s="1"/>
  <c r="BB54" i="2"/>
  <c r="D252" i="3" s="1"/>
  <c r="BB55" i="2"/>
  <c r="D253" i="3" s="1"/>
  <c r="BB56" i="2"/>
  <c r="D254" i="3" s="1"/>
  <c r="BB57" i="2"/>
  <c r="D255" i="3" s="1"/>
  <c r="BB58" i="2"/>
  <c r="D256" i="3" s="1"/>
  <c r="BB59" i="2"/>
  <c r="D257" i="3" s="1"/>
  <c r="F257" i="3" s="1"/>
  <c r="BB60" i="2"/>
  <c r="D258" i="3" s="1"/>
  <c r="BB61" i="2"/>
  <c r="D259" i="3" s="1"/>
  <c r="BG36" i="2"/>
  <c r="D261" i="3" s="1"/>
  <c r="BG37" i="2"/>
  <c r="D262" i="3" s="1"/>
  <c r="BG38" i="2"/>
  <c r="D263" i="3" s="1"/>
  <c r="BG39" i="2"/>
  <c r="D264" i="3" s="1"/>
  <c r="E264" i="3" s="1"/>
  <c r="BG40" i="2"/>
  <c r="D265" i="3" s="1"/>
  <c r="F265" i="3" s="1"/>
  <c r="BG41" i="2"/>
  <c r="D266" i="3" s="1"/>
  <c r="F266" i="3" s="1"/>
  <c r="BG42" i="2"/>
  <c r="D267" i="3" s="1"/>
  <c r="BG43" i="2"/>
  <c r="D268" i="3" s="1"/>
  <c r="F268" i="3" s="1"/>
  <c r="BG44" i="2"/>
  <c r="D269" i="3" s="1"/>
  <c r="BG45" i="2"/>
  <c r="D270" i="3" s="1"/>
  <c r="BG46" i="2"/>
  <c r="D271" i="3" s="1"/>
  <c r="BG47" i="2"/>
  <c r="D272" i="3" s="1"/>
  <c r="E272" i="3" s="1"/>
  <c r="BG48" i="2"/>
  <c r="D273" i="3" s="1"/>
  <c r="F273" i="3" s="1"/>
  <c r="BG49" i="2"/>
  <c r="D274" i="3" s="1"/>
  <c r="F274" i="3" s="1"/>
  <c r="BG50" i="2"/>
  <c r="D275" i="3" s="1"/>
  <c r="BG51" i="2"/>
  <c r="D276" i="3" s="1"/>
  <c r="F276" i="3" s="1"/>
  <c r="BG52" i="2"/>
  <c r="D277" i="3" s="1"/>
  <c r="BG53" i="2"/>
  <c r="D278" i="3" s="1"/>
  <c r="BG54" i="2"/>
  <c r="D279" i="3" s="1"/>
  <c r="BG55" i="2"/>
  <c r="D280" i="3" s="1"/>
  <c r="E280" i="3" s="1"/>
  <c r="BG56" i="2"/>
  <c r="D281" i="3" s="1"/>
  <c r="F281" i="3" s="1"/>
  <c r="BG57" i="2"/>
  <c r="D282" i="3" s="1"/>
  <c r="F282" i="3" s="1"/>
  <c r="BG58" i="2"/>
  <c r="D283" i="3" s="1"/>
  <c r="BG35" i="2"/>
  <c r="D260" i="3" s="1"/>
  <c r="BB35" i="2"/>
  <c r="D233" i="3" s="1"/>
  <c r="F233" i="3" s="1"/>
  <c r="AW35" i="2"/>
  <c r="D206" i="3" s="1"/>
  <c r="AR35" i="2"/>
  <c r="D179" i="3" s="1"/>
  <c r="AM35" i="2"/>
  <c r="D156" i="3" s="1"/>
  <c r="AI35" i="2"/>
  <c r="D130" i="3" s="1"/>
  <c r="AD35" i="2"/>
  <c r="D110" i="3" s="1"/>
  <c r="Y35" i="2"/>
  <c r="D90" i="3" s="1"/>
  <c r="T35" i="2"/>
  <c r="D72" i="3" s="1"/>
  <c r="O35" i="2"/>
  <c r="D54" i="3" s="1"/>
  <c r="J36" i="2"/>
  <c r="D31" i="3" s="1"/>
  <c r="J37" i="2"/>
  <c r="D32" i="3" s="1"/>
  <c r="J38" i="2"/>
  <c r="D33" i="3" s="1"/>
  <c r="J39" i="2"/>
  <c r="D34" i="3" s="1"/>
  <c r="J40" i="2"/>
  <c r="D35" i="3" s="1"/>
  <c r="J41" i="2"/>
  <c r="D36" i="3" s="1"/>
  <c r="J42" i="2"/>
  <c r="D37" i="3" s="1"/>
  <c r="J43" i="2"/>
  <c r="D38" i="3" s="1"/>
  <c r="J44" i="2"/>
  <c r="D39" i="3" s="1"/>
  <c r="J45" i="2"/>
  <c r="D40" i="3" s="1"/>
  <c r="J46" i="2"/>
  <c r="D41" i="3" s="1"/>
  <c r="J47" i="2"/>
  <c r="D42" i="3" s="1"/>
  <c r="J48" i="2"/>
  <c r="D43" i="3" s="1"/>
  <c r="J49" i="2"/>
  <c r="D44" i="3" s="1"/>
  <c r="J50" i="2"/>
  <c r="D45" i="3" s="1"/>
  <c r="J51" i="2"/>
  <c r="D46" i="3" s="1"/>
  <c r="J52" i="2"/>
  <c r="D47" i="3" s="1"/>
  <c r="J53" i="2"/>
  <c r="D48" i="3" s="1"/>
  <c r="J54" i="2"/>
  <c r="D49" i="3" s="1"/>
  <c r="J55" i="2"/>
  <c r="D50" i="3" s="1"/>
  <c r="J56" i="2"/>
  <c r="D51" i="3" s="1"/>
  <c r="J57" i="2"/>
  <c r="D52" i="3" s="1"/>
  <c r="J58" i="2"/>
  <c r="D53" i="3" s="1"/>
  <c r="J35" i="2"/>
  <c r="D30" i="3" s="1"/>
  <c r="BG34" i="2"/>
  <c r="BB34" i="2"/>
  <c r="AW34" i="2"/>
  <c r="AR34" i="2"/>
  <c r="AM34" i="2"/>
  <c r="AI34" i="2"/>
  <c r="AD34" i="2"/>
  <c r="Y34" i="2"/>
  <c r="T34" i="2"/>
  <c r="O34" i="2"/>
  <c r="J34" i="2"/>
  <c r="E36" i="2"/>
  <c r="D4" i="3" s="1"/>
  <c r="E37" i="2"/>
  <c r="D5" i="3" s="1"/>
  <c r="F5" i="3" s="1"/>
  <c r="E38" i="2"/>
  <c r="D6" i="3" s="1"/>
  <c r="F6" i="3" s="1"/>
  <c r="E39" i="2"/>
  <c r="D7" i="3" s="1"/>
  <c r="F7" i="3" s="1"/>
  <c r="E40" i="2"/>
  <c r="D8" i="3" s="1"/>
  <c r="E41" i="2"/>
  <c r="D9" i="3" s="1"/>
  <c r="E9" i="3" s="1"/>
  <c r="E42" i="2"/>
  <c r="D10" i="3" s="1"/>
  <c r="E10" i="3" s="1"/>
  <c r="E43" i="2"/>
  <c r="D11" i="3" s="1"/>
  <c r="E44" i="2"/>
  <c r="D12" i="3" s="1"/>
  <c r="E45" i="2"/>
  <c r="D13" i="3" s="1"/>
  <c r="F13" i="3" s="1"/>
  <c r="E46" i="2"/>
  <c r="D14" i="3" s="1"/>
  <c r="F14" i="3" s="1"/>
  <c r="E47" i="2"/>
  <c r="D15" i="3" s="1"/>
  <c r="F15" i="3" s="1"/>
  <c r="E48" i="2"/>
  <c r="D16" i="3" s="1"/>
  <c r="E49" i="2"/>
  <c r="D17" i="3" s="1"/>
  <c r="E17" i="3" s="1"/>
  <c r="E50" i="2"/>
  <c r="D18" i="3" s="1"/>
  <c r="E18" i="3" s="1"/>
  <c r="E51" i="2"/>
  <c r="D19" i="3" s="1"/>
  <c r="E52" i="2"/>
  <c r="D20" i="3" s="1"/>
  <c r="E53" i="2"/>
  <c r="D21" i="3" s="1"/>
  <c r="F21" i="3" s="1"/>
  <c r="E54" i="2"/>
  <c r="D22" i="3" s="1"/>
  <c r="F22" i="3" s="1"/>
  <c r="E55" i="2"/>
  <c r="D23" i="3" s="1"/>
  <c r="E56" i="2"/>
  <c r="D24" i="3" s="1"/>
  <c r="E57" i="2"/>
  <c r="D25" i="3" s="1"/>
  <c r="E25" i="3" s="1"/>
  <c r="E58" i="2"/>
  <c r="D26" i="3" s="1"/>
  <c r="E26" i="3" s="1"/>
  <c r="E59" i="2"/>
  <c r="D27" i="3" s="1"/>
  <c r="E60" i="2"/>
  <c r="D28" i="3" s="1"/>
  <c r="E61" i="2"/>
  <c r="D29" i="3" s="1"/>
  <c r="F29" i="3" s="1"/>
  <c r="E35" i="2"/>
  <c r="D3" i="3" s="1"/>
  <c r="F3" i="3" s="1"/>
  <c r="A1" i="3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C21" i="2"/>
  <c r="D21" i="2"/>
  <c r="E21" i="2"/>
  <c r="F21" i="2"/>
  <c r="B22" i="2"/>
  <c r="C22" i="2"/>
  <c r="D22" i="2"/>
  <c r="E22" i="2"/>
  <c r="F22" i="2"/>
  <c r="B23" i="2"/>
  <c r="C23" i="2"/>
  <c r="D23" i="2"/>
  <c r="E23" i="2"/>
  <c r="F23" i="2"/>
  <c r="B24" i="2"/>
  <c r="C24" i="2"/>
  <c r="D24" i="2"/>
  <c r="E24" i="2"/>
  <c r="F24" i="2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F16" i="2"/>
  <c r="E16" i="2"/>
  <c r="D16" i="2"/>
  <c r="C16" i="2"/>
  <c r="B16" i="2"/>
  <c r="A26" i="2"/>
  <c r="A27" i="2"/>
  <c r="A28" i="2"/>
  <c r="A17" i="2"/>
  <c r="A18" i="2"/>
  <c r="A20" i="2"/>
  <c r="A21" i="2"/>
  <c r="A22" i="2"/>
  <c r="A23" i="2"/>
  <c r="A24" i="2"/>
  <c r="A25" i="2"/>
  <c r="A1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E19" i="3" l="1"/>
  <c r="F19" i="3"/>
  <c r="E33" i="3"/>
  <c r="F33" i="3"/>
  <c r="F197" i="3"/>
  <c r="E197" i="3"/>
  <c r="E122" i="3"/>
  <c r="F122" i="3"/>
  <c r="E88" i="3"/>
  <c r="F88" i="3"/>
  <c r="F221" i="3"/>
  <c r="E221" i="3"/>
  <c r="E31" i="3"/>
  <c r="F31" i="3"/>
  <c r="E187" i="3"/>
  <c r="F187" i="3"/>
  <c r="E103" i="3"/>
  <c r="F103" i="3"/>
  <c r="E86" i="3"/>
  <c r="F86" i="3"/>
  <c r="F16" i="3"/>
  <c r="E16" i="3"/>
  <c r="E38" i="3"/>
  <c r="F38" i="3"/>
  <c r="F85" i="3"/>
  <c r="E85" i="3"/>
  <c r="E27" i="3"/>
  <c r="F27" i="3"/>
  <c r="E156" i="3"/>
  <c r="F156" i="3"/>
  <c r="F189" i="3"/>
  <c r="E189" i="3"/>
  <c r="E114" i="3"/>
  <c r="F114" i="3"/>
  <c r="E80" i="3"/>
  <c r="F80" i="3"/>
  <c r="F229" i="3"/>
  <c r="E229" i="3"/>
  <c r="E206" i="3"/>
  <c r="F206" i="3"/>
  <c r="F153" i="3"/>
  <c r="E153" i="3"/>
  <c r="E78" i="3"/>
  <c r="F78" i="3"/>
  <c r="E30" i="3"/>
  <c r="F30" i="3"/>
  <c r="F252" i="3"/>
  <c r="E252" i="3"/>
  <c r="E211" i="3"/>
  <c r="F211" i="3"/>
  <c r="F177" i="3"/>
  <c r="E177" i="3"/>
  <c r="F161" i="3"/>
  <c r="E161" i="3"/>
  <c r="E94" i="3"/>
  <c r="F94" i="3"/>
  <c r="E37" i="3"/>
  <c r="F37" i="3"/>
  <c r="F260" i="3"/>
  <c r="E260" i="3"/>
  <c r="F185" i="3"/>
  <c r="E185" i="3"/>
  <c r="E126" i="3"/>
  <c r="F126" i="3"/>
  <c r="E76" i="3"/>
  <c r="F76" i="3"/>
  <c r="E41" i="3"/>
  <c r="F41" i="3"/>
  <c r="F205" i="3"/>
  <c r="E205" i="3"/>
  <c r="E155" i="3"/>
  <c r="F155" i="3"/>
  <c r="F97" i="3"/>
  <c r="E97" i="3"/>
  <c r="E63" i="3"/>
  <c r="F63" i="3"/>
  <c r="E40" i="3"/>
  <c r="F40" i="3"/>
  <c r="E171" i="3"/>
  <c r="F171" i="3"/>
  <c r="E146" i="3"/>
  <c r="F146" i="3"/>
  <c r="F129" i="3"/>
  <c r="E129" i="3"/>
  <c r="E96" i="3"/>
  <c r="F96" i="3"/>
  <c r="E79" i="3"/>
  <c r="F79" i="3"/>
  <c r="E62" i="3"/>
  <c r="F62" i="3"/>
  <c r="E39" i="3"/>
  <c r="F39" i="3"/>
  <c r="E203" i="3"/>
  <c r="F203" i="3"/>
  <c r="E120" i="3"/>
  <c r="F120" i="3"/>
  <c r="E95" i="3"/>
  <c r="F95" i="3"/>
  <c r="F24" i="3"/>
  <c r="E24" i="3"/>
  <c r="F236" i="3"/>
  <c r="E236" i="3"/>
  <c r="F77" i="3"/>
  <c r="E77" i="3"/>
  <c r="F72" i="3"/>
  <c r="E72" i="3"/>
  <c r="F193" i="3"/>
  <c r="E193" i="3"/>
  <c r="F109" i="3"/>
  <c r="E109" i="3"/>
  <c r="E84" i="3"/>
  <c r="F84" i="3"/>
  <c r="E59" i="3"/>
  <c r="F59" i="3"/>
  <c r="E52" i="3"/>
  <c r="F52" i="3"/>
  <c r="E44" i="3"/>
  <c r="F44" i="3"/>
  <c r="E36" i="3"/>
  <c r="F36" i="3"/>
  <c r="E90" i="3"/>
  <c r="F90" i="3"/>
  <c r="F258" i="3"/>
  <c r="E258" i="3"/>
  <c r="F250" i="3"/>
  <c r="E250" i="3"/>
  <c r="F234" i="3"/>
  <c r="E234" i="3"/>
  <c r="F225" i="3"/>
  <c r="E225" i="3"/>
  <c r="F217" i="3"/>
  <c r="E217" i="3"/>
  <c r="F209" i="3"/>
  <c r="E209" i="3"/>
  <c r="E175" i="3"/>
  <c r="F175" i="3"/>
  <c r="E167" i="3"/>
  <c r="F167" i="3"/>
  <c r="E159" i="3"/>
  <c r="F159" i="3"/>
  <c r="E142" i="3"/>
  <c r="F142" i="3"/>
  <c r="E134" i="3"/>
  <c r="F134" i="3"/>
  <c r="F125" i="3"/>
  <c r="E125" i="3"/>
  <c r="E108" i="3"/>
  <c r="F108" i="3"/>
  <c r="E100" i="3"/>
  <c r="F100" i="3"/>
  <c r="E92" i="3"/>
  <c r="F92" i="3"/>
  <c r="E83" i="3"/>
  <c r="F83" i="3"/>
  <c r="E75" i="3"/>
  <c r="F75" i="3"/>
  <c r="E66" i="3"/>
  <c r="F66" i="3"/>
  <c r="E58" i="3"/>
  <c r="F58" i="3"/>
  <c r="E11" i="3"/>
  <c r="F11" i="3"/>
  <c r="F181" i="3"/>
  <c r="E181" i="3"/>
  <c r="F105" i="3"/>
  <c r="E105" i="3"/>
  <c r="E55" i="3"/>
  <c r="F55" i="3"/>
  <c r="E48" i="3"/>
  <c r="F48" i="3"/>
  <c r="E32" i="3"/>
  <c r="F32" i="3"/>
  <c r="F254" i="3"/>
  <c r="E254" i="3"/>
  <c r="F246" i="3"/>
  <c r="E246" i="3"/>
  <c r="F213" i="3"/>
  <c r="E213" i="3"/>
  <c r="E163" i="3"/>
  <c r="F163" i="3"/>
  <c r="E138" i="3"/>
  <c r="F138" i="3"/>
  <c r="F104" i="3"/>
  <c r="E104" i="3"/>
  <c r="E87" i="3"/>
  <c r="F87" i="3"/>
  <c r="E70" i="3"/>
  <c r="F70" i="3"/>
  <c r="E47" i="3"/>
  <c r="F47" i="3"/>
  <c r="E195" i="3"/>
  <c r="F195" i="3"/>
  <c r="E112" i="3"/>
  <c r="F112" i="3"/>
  <c r="F61" i="3"/>
  <c r="E61" i="3"/>
  <c r="F8" i="3"/>
  <c r="E8" i="3"/>
  <c r="E227" i="3"/>
  <c r="F227" i="3"/>
  <c r="F68" i="3"/>
  <c r="E68" i="3"/>
  <c r="F53" i="3"/>
  <c r="E53" i="3"/>
  <c r="E118" i="3"/>
  <c r="F118" i="3"/>
  <c r="F93" i="3"/>
  <c r="E93" i="3"/>
  <c r="E67" i="3"/>
  <c r="F67" i="3"/>
  <c r="E51" i="3"/>
  <c r="F51" i="3"/>
  <c r="E35" i="3"/>
  <c r="F35" i="3"/>
  <c r="E110" i="3"/>
  <c r="F110" i="3"/>
  <c r="E191" i="3"/>
  <c r="F191" i="3"/>
  <c r="F149" i="3"/>
  <c r="E149" i="3"/>
  <c r="E107" i="3"/>
  <c r="F107" i="3"/>
  <c r="F65" i="3"/>
  <c r="E65" i="3"/>
  <c r="E49" i="3"/>
  <c r="F49" i="3"/>
  <c r="E71" i="3"/>
  <c r="F71" i="3"/>
  <c r="E128" i="3"/>
  <c r="F128" i="3"/>
  <c r="F69" i="3"/>
  <c r="E69" i="3"/>
  <c r="E46" i="3"/>
  <c r="F46" i="3"/>
  <c r="E219" i="3"/>
  <c r="F219" i="3"/>
  <c r="F169" i="3"/>
  <c r="E169" i="3"/>
  <c r="E144" i="3"/>
  <c r="F144" i="3"/>
  <c r="F136" i="3"/>
  <c r="E136" i="3"/>
  <c r="E127" i="3"/>
  <c r="F127" i="3"/>
  <c r="E102" i="3"/>
  <c r="F102" i="3"/>
  <c r="E60" i="3"/>
  <c r="F60" i="3"/>
  <c r="E23" i="3"/>
  <c r="F23" i="3"/>
  <c r="E45" i="3"/>
  <c r="F45" i="3"/>
  <c r="F201" i="3"/>
  <c r="E201" i="3"/>
  <c r="E151" i="3"/>
  <c r="F151" i="3"/>
  <c r="F101" i="3"/>
  <c r="E101" i="3"/>
  <c r="E43" i="3"/>
  <c r="F43" i="3"/>
  <c r="E199" i="3"/>
  <c r="F199" i="3"/>
  <c r="E183" i="3"/>
  <c r="F183" i="3"/>
  <c r="E124" i="3"/>
  <c r="F124" i="3"/>
  <c r="E116" i="3"/>
  <c r="F116" i="3"/>
  <c r="E99" i="3"/>
  <c r="F99" i="3"/>
  <c r="E91" i="3"/>
  <c r="F91" i="3"/>
  <c r="E82" i="3"/>
  <c r="F82" i="3"/>
  <c r="E74" i="3"/>
  <c r="F74" i="3"/>
  <c r="F57" i="3"/>
  <c r="E57" i="3"/>
  <c r="F28" i="3"/>
  <c r="E28" i="3"/>
  <c r="F20" i="3"/>
  <c r="E20" i="3"/>
  <c r="F12" i="3"/>
  <c r="E12" i="3"/>
  <c r="F4" i="3"/>
  <c r="E4" i="3"/>
  <c r="E50" i="3"/>
  <c r="F50" i="3"/>
  <c r="E42" i="3"/>
  <c r="F42" i="3"/>
  <c r="E34" i="3"/>
  <c r="F34" i="3"/>
  <c r="E130" i="3"/>
  <c r="F130" i="3"/>
  <c r="E256" i="3"/>
  <c r="F256" i="3"/>
  <c r="E248" i="3"/>
  <c r="F248" i="3"/>
  <c r="E231" i="3"/>
  <c r="F231" i="3"/>
  <c r="E223" i="3"/>
  <c r="F223" i="3"/>
  <c r="E215" i="3"/>
  <c r="F215" i="3"/>
  <c r="E207" i="3"/>
  <c r="F207" i="3"/>
  <c r="F173" i="3"/>
  <c r="E173" i="3"/>
  <c r="F165" i="3"/>
  <c r="E165" i="3"/>
  <c r="F157" i="3"/>
  <c r="E157" i="3"/>
  <c r="E140" i="3"/>
  <c r="F140" i="3"/>
  <c r="F132" i="3"/>
  <c r="E132" i="3"/>
  <c r="E123" i="3"/>
  <c r="F123" i="3"/>
  <c r="E106" i="3"/>
  <c r="F106" i="3"/>
  <c r="E98" i="3"/>
  <c r="F98" i="3"/>
  <c r="F89" i="3"/>
  <c r="E89" i="3"/>
  <c r="F81" i="3"/>
  <c r="E81" i="3"/>
  <c r="F73" i="3"/>
  <c r="E73" i="3"/>
  <c r="E64" i="3"/>
  <c r="F64" i="3"/>
  <c r="E56" i="3"/>
  <c r="F56" i="3"/>
  <c r="F245" i="3"/>
  <c r="E245" i="3"/>
  <c r="E54" i="3"/>
  <c r="F54" i="3"/>
  <c r="F277" i="3"/>
  <c r="E277" i="3"/>
  <c r="F269" i="3"/>
  <c r="E269" i="3"/>
  <c r="F261" i="3"/>
  <c r="E261" i="3"/>
  <c r="E202" i="3"/>
  <c r="F202" i="3"/>
  <c r="E194" i="3"/>
  <c r="F194" i="3"/>
  <c r="E186" i="3"/>
  <c r="F186" i="3"/>
  <c r="E119" i="3"/>
  <c r="F119" i="3"/>
  <c r="E111" i="3"/>
  <c r="F111" i="3"/>
  <c r="F280" i="3"/>
  <c r="F264" i="3"/>
  <c r="F232" i="3"/>
  <c r="F216" i="3"/>
  <c r="E196" i="3"/>
  <c r="F152" i="3"/>
  <c r="E179" i="3"/>
  <c r="F179" i="3"/>
  <c r="E279" i="3"/>
  <c r="F279" i="3"/>
  <c r="E263" i="3"/>
  <c r="F263" i="3"/>
  <c r="F270" i="3"/>
  <c r="E270" i="3"/>
  <c r="F237" i="3"/>
  <c r="E237" i="3"/>
  <c r="E259" i="3"/>
  <c r="F259" i="3"/>
  <c r="E251" i="3"/>
  <c r="F251" i="3"/>
  <c r="E243" i="3"/>
  <c r="F243" i="3"/>
  <c r="E235" i="3"/>
  <c r="F235" i="3"/>
  <c r="E210" i="3"/>
  <c r="F210" i="3"/>
  <c r="E160" i="3"/>
  <c r="F160" i="3"/>
  <c r="E143" i="3"/>
  <c r="F143" i="3"/>
  <c r="E135" i="3"/>
  <c r="F135" i="3"/>
  <c r="E276" i="3"/>
  <c r="E244" i="3"/>
  <c r="E228" i="3"/>
  <c r="F188" i="3"/>
  <c r="E168" i="3"/>
  <c r="E145" i="3"/>
  <c r="F238" i="3"/>
  <c r="E238" i="3"/>
  <c r="F278" i="3"/>
  <c r="E278" i="3"/>
  <c r="F262" i="3"/>
  <c r="E262" i="3"/>
  <c r="A19" i="2"/>
  <c r="E283" i="3"/>
  <c r="F283" i="3"/>
  <c r="E275" i="3"/>
  <c r="F275" i="3"/>
  <c r="E267" i="3"/>
  <c r="F267" i="3"/>
  <c r="E192" i="3"/>
  <c r="F192" i="3"/>
  <c r="E150" i="3"/>
  <c r="F150" i="3"/>
  <c r="F117" i="3"/>
  <c r="E117" i="3"/>
  <c r="E274" i="3"/>
  <c r="E242" i="3"/>
  <c r="E226" i="3"/>
  <c r="F208" i="3"/>
  <c r="E174" i="3"/>
  <c r="F174" i="3"/>
  <c r="E166" i="3"/>
  <c r="F166" i="3"/>
  <c r="E158" i="3"/>
  <c r="F158" i="3"/>
  <c r="E273" i="3"/>
  <c r="E257" i="3"/>
  <c r="E241" i="3"/>
  <c r="F164" i="3"/>
  <c r="E121" i="3"/>
  <c r="E198" i="3"/>
  <c r="F198" i="3"/>
  <c r="E190" i="3"/>
  <c r="F190" i="3"/>
  <c r="E182" i="3"/>
  <c r="F182" i="3"/>
  <c r="E148" i="3"/>
  <c r="F148" i="3"/>
  <c r="E115" i="3"/>
  <c r="F115" i="3"/>
  <c r="F272" i="3"/>
  <c r="F240" i="3"/>
  <c r="F224" i="3"/>
  <c r="F184" i="3"/>
  <c r="E141" i="3"/>
  <c r="E255" i="3"/>
  <c r="F255" i="3"/>
  <c r="E247" i="3"/>
  <c r="F247" i="3"/>
  <c r="E239" i="3"/>
  <c r="F239" i="3"/>
  <c r="F230" i="3"/>
  <c r="E230" i="3"/>
  <c r="F222" i="3"/>
  <c r="E222" i="3"/>
  <c r="E214" i="3"/>
  <c r="F214" i="3"/>
  <c r="E172" i="3"/>
  <c r="F172" i="3"/>
  <c r="E147" i="3"/>
  <c r="F147" i="3"/>
  <c r="E139" i="3"/>
  <c r="F139" i="3"/>
  <c r="E131" i="3"/>
  <c r="F131" i="3"/>
  <c r="E268" i="3"/>
  <c r="E220" i="3"/>
  <c r="E200" i="3"/>
  <c r="E113" i="3"/>
  <c r="E180" i="3"/>
  <c r="F180" i="3"/>
  <c r="E154" i="3"/>
  <c r="F154" i="3"/>
  <c r="E282" i="3"/>
  <c r="E266" i="3"/>
  <c r="E218" i="3"/>
  <c r="F176" i="3"/>
  <c r="E133" i="3"/>
  <c r="E271" i="3"/>
  <c r="F271" i="3"/>
  <c r="E204" i="3"/>
  <c r="F204" i="3"/>
  <c r="F253" i="3"/>
  <c r="E253" i="3"/>
  <c r="E212" i="3"/>
  <c r="F212" i="3"/>
  <c r="E178" i="3"/>
  <c r="F178" i="3"/>
  <c r="E170" i="3"/>
  <c r="F170" i="3"/>
  <c r="E162" i="3"/>
  <c r="F162" i="3"/>
  <c r="F137" i="3"/>
  <c r="E137" i="3"/>
  <c r="E281" i="3"/>
  <c r="E265" i="3"/>
  <c r="E249" i="3"/>
  <c r="E233" i="3"/>
  <c r="E15" i="3"/>
  <c r="E7" i="3"/>
  <c r="F26" i="3"/>
  <c r="F18" i="3"/>
  <c r="F10" i="3"/>
  <c r="E3" i="3"/>
  <c r="E22" i="3"/>
  <c r="E14" i="3"/>
  <c r="E6" i="3"/>
  <c r="F25" i="3"/>
  <c r="F17" i="3"/>
  <c r="F9" i="3"/>
  <c r="E29" i="3"/>
  <c r="E21" i="3"/>
  <c r="E13" i="3"/>
  <c r="E5" i="3"/>
</calcChain>
</file>

<file path=xl/sharedStrings.xml><?xml version="1.0" encoding="utf-8"?>
<sst xmlns="http://schemas.openxmlformats.org/spreadsheetml/2006/main" count="1384" uniqueCount="130">
  <si>
    <t>Manufacturer/Distributor</t>
  </si>
  <si>
    <t>Product Name</t>
  </si>
  <si>
    <t>Application</t>
  </si>
  <si>
    <t>Deactivated Status</t>
  </si>
  <si>
    <t>Deactivated Date</t>
  </si>
  <si>
    <t>Active Ingredient</t>
  </si>
  <si>
    <t>Generic</t>
  </si>
  <si>
    <t>Repackager</t>
  </si>
  <si>
    <t>Orange Book Code</t>
  </si>
  <si>
    <t>Code Type</t>
  </si>
  <si>
    <t>Identifier</t>
  </si>
  <si>
    <t>Form</t>
  </si>
  <si>
    <t>Strength</t>
  </si>
  <si>
    <t>Route</t>
  </si>
  <si>
    <t>Package Size</t>
  </si>
  <si>
    <t>Unit Dose</t>
  </si>
  <si>
    <t>WAC Package Price</t>
  </si>
  <si>
    <t>WAC Effective Date</t>
  </si>
  <si>
    <t>New WAC</t>
  </si>
  <si>
    <t>New WAC Effective Date</t>
  </si>
  <si>
    <t>AWP Package Price</t>
  </si>
  <si>
    <t>AWP Unit Price</t>
  </si>
  <si>
    <t>AWP Effective Date</t>
  </si>
  <si>
    <t>New AWP</t>
  </si>
  <si>
    <t>New AWP Effective Date</t>
  </si>
  <si>
    <t>DIRP Package Price</t>
  </si>
  <si>
    <t>DIRP Effective Date</t>
  </si>
  <si>
    <t>New DIRP</t>
  </si>
  <si>
    <t>New DIRP Effective Date</t>
  </si>
  <si>
    <t>SRP Package Price</t>
  </si>
  <si>
    <t>SRP Effective Date</t>
  </si>
  <si>
    <t>New SRP</t>
  </si>
  <si>
    <t>New SRP Effective Date</t>
  </si>
  <si>
    <t>Dea Class</t>
  </si>
  <si>
    <t>Significant Omission</t>
  </si>
  <si>
    <t>Add'l Description</t>
  </si>
  <si>
    <t>BRISTOL-MYERS SQUIBB CO.</t>
  </si>
  <si>
    <t>REVLIMID</t>
  </si>
  <si>
    <t>NDA</t>
  </si>
  <si>
    <t>N</t>
  </si>
  <si>
    <t/>
  </si>
  <si>
    <t>lenalidomide</t>
  </si>
  <si>
    <t>NDC</t>
  </si>
  <si>
    <t>59572-0405-00</t>
  </si>
  <si>
    <t>CAP</t>
  </si>
  <si>
    <t>5 mg</t>
  </si>
  <si>
    <t>ORAL</t>
  </si>
  <si>
    <t>100s ea</t>
  </si>
  <si>
    <t xml:space="preserve">     89155.06</t>
  </si>
  <si>
    <t>07/01/2024</t>
  </si>
  <si>
    <t xml:space="preserve">    106986.08</t>
  </si>
  <si>
    <t xml:space="preserve">      1069.86080</t>
  </si>
  <si>
    <t>RX</t>
  </si>
  <si>
    <t>59572-0405-28</t>
  </si>
  <si>
    <t>28s ea</t>
  </si>
  <si>
    <t xml:space="preserve">     24963.40</t>
  </si>
  <si>
    <t xml:space="preserve">     29956.08</t>
  </si>
  <si>
    <t xml:space="preserve">      1069.86000</t>
  </si>
  <si>
    <t>59572-0420-21</t>
  </si>
  <si>
    <t>20 mg</t>
  </si>
  <si>
    <t>21s ea</t>
  </si>
  <si>
    <t xml:space="preserve">     18722.57</t>
  </si>
  <si>
    <t xml:space="preserve">     22467.08</t>
  </si>
  <si>
    <t xml:space="preserve">      1069.86095</t>
  </si>
  <si>
    <t>59572-0420-00</t>
  </si>
  <si>
    <t>EE</t>
  </si>
  <si>
    <t>59572-0402-00</t>
  </si>
  <si>
    <t>2.5 mg</t>
  </si>
  <si>
    <t>59572-0402-28</t>
  </si>
  <si>
    <t>59572-0425-00</t>
  </si>
  <si>
    <t>25 mg</t>
  </si>
  <si>
    <t>59572-0425-21</t>
  </si>
  <si>
    <t>59572-0415-21</t>
  </si>
  <si>
    <t>15 mg</t>
  </si>
  <si>
    <t>59572-0415-00</t>
  </si>
  <si>
    <t>59572-0410-00</t>
  </si>
  <si>
    <t>10 mg</t>
  </si>
  <si>
    <t>59572-0410-28</t>
  </si>
  <si>
    <t>Address 1</t>
  </si>
  <si>
    <t>Address 2</t>
  </si>
  <si>
    <t>City</t>
  </si>
  <si>
    <t>State</t>
  </si>
  <si>
    <t>Zip</t>
  </si>
  <si>
    <t>Phone</t>
  </si>
  <si>
    <t>Company Web Site</t>
  </si>
  <si>
    <t>Company E-Mail Address</t>
  </si>
  <si>
    <t>Toll Free</t>
  </si>
  <si>
    <t>Clinical Support</t>
  </si>
  <si>
    <t>Parent Company</t>
  </si>
  <si>
    <t>P. O. BOX 4500</t>
  </si>
  <si>
    <t>PRINCETON</t>
  </si>
  <si>
    <t>NJ</t>
  </si>
  <si>
    <t>08543</t>
  </si>
  <si>
    <t>(609) 897-2000</t>
  </si>
  <si>
    <t>Filtered Columns</t>
  </si>
  <si>
    <t>Formulation Number (DL)</t>
  </si>
  <si>
    <r>
      <t>Product Name: </t>
    </r>
    <r>
      <rPr>
        <sz val="10"/>
        <color rgb="FF000000"/>
        <rFont val="Arial"/>
        <family val="2"/>
      </rPr>
      <t>REVLIMID</t>
    </r>
  </si>
  <si>
    <r>
      <t>Code:</t>
    </r>
    <r>
      <rPr>
        <sz val="10"/>
        <color rgb="FF000000"/>
        <rFont val="Arial"/>
        <family val="2"/>
      </rPr>
      <t> NDC</t>
    </r>
  </si>
  <si>
    <r>
      <t>Identifier:</t>
    </r>
    <r>
      <rPr>
        <sz val="10"/>
        <color rgb="FF000000"/>
        <rFont val="Arial"/>
        <family val="2"/>
      </rPr>
      <t> 59572-0405-00</t>
    </r>
  </si>
  <si>
    <t>Effective Date</t>
  </si>
  <si>
    <t>Unit</t>
  </si>
  <si>
    <t>% Change</t>
  </si>
  <si>
    <r>
      <t>Identifier:</t>
    </r>
    <r>
      <rPr>
        <sz val="10"/>
        <color rgb="FF000000"/>
        <rFont val="Arial"/>
        <family val="2"/>
      </rPr>
      <t> 59572-0405-28</t>
    </r>
  </si>
  <si>
    <r>
      <t>Identifier:</t>
    </r>
    <r>
      <rPr>
        <sz val="10"/>
        <color rgb="FF000000"/>
        <rFont val="Arial"/>
        <family val="2"/>
      </rPr>
      <t> 59572-0420-21</t>
    </r>
  </si>
  <si>
    <r>
      <t>Identifier:</t>
    </r>
    <r>
      <rPr>
        <sz val="10"/>
        <color rgb="FF000000"/>
        <rFont val="Arial"/>
        <family val="2"/>
      </rPr>
      <t> 59572-0420-00</t>
    </r>
  </si>
  <si>
    <r>
      <t>Identifier:</t>
    </r>
    <r>
      <rPr>
        <sz val="10"/>
        <color rgb="FF000000"/>
        <rFont val="Arial"/>
        <family val="2"/>
      </rPr>
      <t> 59572-0402-00</t>
    </r>
  </si>
  <si>
    <r>
      <t>Identifier:</t>
    </r>
    <r>
      <rPr>
        <sz val="10"/>
        <color rgb="FF000000"/>
        <rFont val="Arial"/>
        <family val="2"/>
      </rPr>
      <t> 59572-0402-28</t>
    </r>
  </si>
  <si>
    <r>
      <t>Identifier:</t>
    </r>
    <r>
      <rPr>
        <sz val="10"/>
        <color rgb="FF000000"/>
        <rFont val="Arial"/>
        <family val="2"/>
      </rPr>
      <t> 59572-0425-00</t>
    </r>
  </si>
  <si>
    <r>
      <t>Identifier:</t>
    </r>
    <r>
      <rPr>
        <sz val="10"/>
        <color rgb="FF000000"/>
        <rFont val="Arial"/>
        <family val="2"/>
      </rPr>
      <t> 59572-0425-21</t>
    </r>
  </si>
  <si>
    <r>
      <t>Identifier:</t>
    </r>
    <r>
      <rPr>
        <sz val="10"/>
        <color rgb="FF000000"/>
        <rFont val="Arial"/>
        <family val="2"/>
      </rPr>
      <t> 59572-0415-21</t>
    </r>
  </si>
  <si>
    <r>
      <t>Identifier:</t>
    </r>
    <r>
      <rPr>
        <sz val="10"/>
        <color rgb="FF000000"/>
        <rFont val="Arial"/>
        <family val="2"/>
      </rPr>
      <t> 59572-0415-00</t>
    </r>
  </si>
  <si>
    <r>
      <t>Identifier:</t>
    </r>
    <r>
      <rPr>
        <sz val="10"/>
        <color rgb="FF000000"/>
        <rFont val="Arial"/>
        <family val="2"/>
      </rPr>
      <t> 59572-0410-00</t>
    </r>
  </si>
  <si>
    <r>
      <t>Identifier:</t>
    </r>
    <r>
      <rPr>
        <sz val="10"/>
        <color rgb="FF000000"/>
        <rFont val="Arial"/>
        <family val="2"/>
      </rPr>
      <t> 59572-0410-28</t>
    </r>
  </si>
  <si>
    <t>Dosage</t>
  </si>
  <si>
    <t>Row Labels</t>
  </si>
  <si>
    <t>Grand Total</t>
  </si>
  <si>
    <t>Column Labels</t>
  </si>
  <si>
    <t>Sum of Unit</t>
  </si>
  <si>
    <t>Pos Error</t>
  </si>
  <si>
    <t>Av</t>
  </si>
  <si>
    <t>Max</t>
  </si>
  <si>
    <t>Min</t>
  </si>
  <si>
    <t>Range</t>
  </si>
  <si>
    <t>Neg error</t>
  </si>
  <si>
    <t>Date</t>
  </si>
  <si>
    <t>Average</t>
  </si>
  <si>
    <t>Neg Error</t>
  </si>
  <si>
    <t>Year</t>
  </si>
  <si>
    <t>Avg Cost/Unit</t>
  </si>
  <si>
    <t>Price Paid since last price hike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</si>
</sst>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515355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4" fontId="0" fillId="0" borderId="0" xfId="0" applyNumberFormat="1"/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6" fillId="0" borderId="0" xfId="0" applyFont="1"/>
    <xf numFmtId="14" fontId="7" fillId="0" borderId="0" xfId="0" applyNumberFormat="1" applyFont="1"/>
    <xf numFmtId="0" fontId="7" fillId="0" borderId="0" xfId="0" applyFont="1"/>
    <xf numFmtId="14" fontId="6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Sheet3!$S$5:$S$35</c:f>
                <c:numCache>
                  <c:formatCode>General</c:formatCode>
                  <c:ptCount val="31"/>
                  <c:pt idx="0">
                    <c:v>6</c:v>
                  </c:pt>
                  <c:pt idx="1">
                    <c:v>12</c:v>
                  </c:pt>
                  <c:pt idx="2">
                    <c:v>37.20960000000008</c:v>
                  </c:pt>
                  <c:pt idx="3">
                    <c:v>29.146555999999919</c:v>
                  </c:pt>
                  <c:pt idx="4">
                    <c:v>30.31227599999994</c:v>
                  </c:pt>
                  <c:pt idx="5">
                    <c:v>40.57186333333334</c:v>
                  </c:pt>
                  <c:pt idx="6">
                    <c:v>16.055010000000038</c:v>
                  </c:pt>
                  <c:pt idx="7">
                    <c:v>8.3442225000000008</c:v>
                  </c:pt>
                  <c:pt idx="8">
                    <c:v>5.7701712500000326</c:v>
                  </c:pt>
                  <c:pt idx="9">
                    <c:v>6.1166437499999802</c:v>
                  </c:pt>
                  <c:pt idx="10">
                    <c:v>1.3000000001284207E-4</c:v>
                  </c:pt>
                  <c:pt idx="11">
                    <c:v>8.1129260000000158</c:v>
                  </c:pt>
                  <c:pt idx="12">
                    <c:v>8.3561760000000049</c:v>
                  </c:pt>
                  <c:pt idx="13">
                    <c:v>2.9000000000678483E-4</c:v>
                  </c:pt>
                  <c:pt idx="14">
                    <c:v>7.1722333333333381</c:v>
                  </c:pt>
                  <c:pt idx="15">
                    <c:v>7.4593466666666473</c:v>
                  </c:pt>
                  <c:pt idx="16">
                    <c:v>1.3000000001284207E-4</c:v>
                  </c:pt>
                  <c:pt idx="17">
                    <c:v>4.4999999886385922E-5</c:v>
                  </c:pt>
                  <c:pt idx="18">
                    <c:v>1.5999999993709935E-4</c:v>
                  </c:pt>
                  <c:pt idx="19">
                    <c:v>5.4999999974825187E-5</c:v>
                  </c:pt>
                  <c:pt idx="20">
                    <c:v>1.5500000006340997E-4</c:v>
                  </c:pt>
                  <c:pt idx="21">
                    <c:v>1.2500000002546585E-4</c:v>
                  </c:pt>
                  <c:pt idx="22">
                    <c:v>3.2750000013948011E-4</c:v>
                  </c:pt>
                  <c:pt idx="23">
                    <c:v>1.5500000006340997E-4</c:v>
                  </c:pt>
                  <c:pt idx="24">
                    <c:v>2.8750000012678356E-4</c:v>
                  </c:pt>
                  <c:pt idx="25">
                    <c:v>6.024999998999192E-4</c:v>
                  </c:pt>
                  <c:pt idx="26">
                    <c:v>8.6750000002666638E-4</c:v>
                  </c:pt>
                  <c:pt idx="27">
                    <c:v>5.8249999983672751E-4</c:v>
                  </c:pt>
                  <c:pt idx="28">
                    <c:v>4.9250000006395567E-4</c:v>
                  </c:pt>
                  <c:pt idx="29">
                    <c:v>5.8750000016516424E-4</c:v>
                  </c:pt>
                  <c:pt idx="30">
                    <c:v>3.1249999983629095E-4</c:v>
                  </c:pt>
                </c:numCache>
              </c:numRef>
            </c:plus>
            <c:minus>
              <c:numRef>
                <c:f>Sheet3!$T$5:$T$35</c:f>
                <c:numCache>
                  <c:formatCode>General</c:formatCode>
                  <c:ptCount val="31"/>
                  <c:pt idx="0">
                    <c:v>6</c:v>
                  </c:pt>
                  <c:pt idx="1">
                    <c:v>6</c:v>
                  </c:pt>
                  <c:pt idx="2">
                    <c:v>43.868399999999951</c:v>
                  </c:pt>
                  <c:pt idx="3">
                    <c:v>36.622544000000062</c:v>
                  </c:pt>
                  <c:pt idx="4">
                    <c:v>38.087624000000062</c:v>
                  </c:pt>
                  <c:pt idx="5">
                    <c:v>27.827896666666675</c:v>
                  </c:pt>
                  <c:pt idx="6">
                    <c:v>16.316479999999956</c:v>
                  </c:pt>
                  <c:pt idx="7">
                    <c:v>15.36631749999998</c:v>
                  </c:pt>
                  <c:pt idx="8">
                    <c:v>7.2507987499999444</c:v>
                  </c:pt>
                  <c:pt idx="9">
                    <c:v>7.6858762500000353</c:v>
                  </c:pt>
                  <c:pt idx="10">
                    <c:v>1.3000000001284207E-4</c:v>
                  </c:pt>
                  <c:pt idx="11">
                    <c:v>6.5174939999999424</c:v>
                  </c:pt>
                  <c:pt idx="12">
                    <c:v>6.7131039999999871</c:v>
                  </c:pt>
                  <c:pt idx="13">
                    <c:v>2.9000000000678483E-4</c:v>
                  </c:pt>
                  <c:pt idx="14">
                    <c:v>8.3488666666666518</c:v>
                  </c:pt>
                  <c:pt idx="15">
                    <c:v>8.6828433333333805</c:v>
                  </c:pt>
                  <c:pt idx="16">
                    <c:v>1.0999999994965037E-4</c:v>
                  </c:pt>
                  <c:pt idx="17">
                    <c:v>7.5000000038016879E-5</c:v>
                  </c:pt>
                  <c:pt idx="18">
                    <c:v>8.0000000025393092E-5</c:v>
                  </c:pt>
                  <c:pt idx="19">
                    <c:v>1.1500000005071342E-4</c:v>
                  </c:pt>
                  <c:pt idx="20">
                    <c:v>3.3499999995001417E-4</c:v>
                  </c:pt>
                  <c:pt idx="21">
                    <c:v>3.6499999998795829E-4</c:v>
                  </c:pt>
                  <c:pt idx="22">
                    <c:v>6.2249999984942406E-4</c:v>
                  </c:pt>
                  <c:pt idx="23">
                    <c:v>4.4499999989966454E-4</c:v>
                  </c:pt>
                  <c:pt idx="24">
                    <c:v>3.0249999986153853E-4</c:v>
                  </c:pt>
                  <c:pt idx="25">
                    <c:v>8.2750000012765668E-4</c:v>
                  </c:pt>
                  <c:pt idx="26">
                    <c:v>6.824999999253123E-4</c:v>
                  </c:pt>
                  <c:pt idx="27">
                    <c:v>4.8750000019026629E-4</c:v>
                  </c:pt>
                  <c:pt idx="28">
                    <c:v>4.574999999249485E-4</c:v>
                  </c:pt>
                  <c:pt idx="29">
                    <c:v>6.024999998999192E-4</c:v>
                  </c:pt>
                  <c:pt idx="30">
                    <c:v>6.3750000026630005E-4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Sheet3!$A$43:$A$73</c:f>
              <c:numCache>
                <c:formatCode>m/d/yy</c:formatCode>
                <c:ptCount val="31"/>
                <c:pt idx="0">
                  <c:v>38715</c:v>
                </c:pt>
                <c:pt idx="1">
                  <c:v>38898</c:v>
                </c:pt>
                <c:pt idx="2">
                  <c:v>39085</c:v>
                </c:pt>
                <c:pt idx="3">
                  <c:v>39451</c:v>
                </c:pt>
                <c:pt idx="4">
                  <c:v>39787</c:v>
                </c:pt>
                <c:pt idx="5">
                  <c:v>39904</c:v>
                </c:pt>
                <c:pt idx="6">
                  <c:v>39939</c:v>
                </c:pt>
                <c:pt idx="7">
                  <c:v>40183</c:v>
                </c:pt>
                <c:pt idx="8">
                  <c:v>40523</c:v>
                </c:pt>
                <c:pt idx="9">
                  <c:v>40876</c:v>
                </c:pt>
                <c:pt idx="10">
                  <c:v>41015</c:v>
                </c:pt>
                <c:pt idx="11">
                  <c:v>41214</c:v>
                </c:pt>
                <c:pt idx="12">
                  <c:v>41363</c:v>
                </c:pt>
                <c:pt idx="13">
                  <c:v>41443</c:v>
                </c:pt>
                <c:pt idx="14">
                  <c:v>41548</c:v>
                </c:pt>
                <c:pt idx="15">
                  <c:v>41704</c:v>
                </c:pt>
                <c:pt idx="16">
                  <c:v>41885</c:v>
                </c:pt>
                <c:pt idx="17">
                  <c:v>41996</c:v>
                </c:pt>
                <c:pt idx="18">
                  <c:v>42180</c:v>
                </c:pt>
                <c:pt idx="19">
                  <c:v>42279</c:v>
                </c:pt>
                <c:pt idx="20">
                  <c:v>42439</c:v>
                </c:pt>
                <c:pt idx="21">
                  <c:v>42602</c:v>
                </c:pt>
                <c:pt idx="22">
                  <c:v>42746</c:v>
                </c:pt>
                <c:pt idx="23">
                  <c:v>42927</c:v>
                </c:pt>
                <c:pt idx="24">
                  <c:v>43028</c:v>
                </c:pt>
                <c:pt idx="25">
                  <c:v>43291</c:v>
                </c:pt>
                <c:pt idx="26">
                  <c:v>43468</c:v>
                </c:pt>
                <c:pt idx="27">
                  <c:v>43831</c:v>
                </c:pt>
                <c:pt idx="28">
                  <c:v>44197</c:v>
                </c:pt>
                <c:pt idx="29">
                  <c:v>44562</c:v>
                </c:pt>
                <c:pt idx="30">
                  <c:v>45474</c:v>
                </c:pt>
              </c:numCache>
            </c:numRef>
          </c:xVal>
          <c:yVal>
            <c:numRef>
              <c:f>Sheet3!$B$43:$B$73</c:f>
              <c:numCache>
                <c:formatCode>0.00</c:formatCode>
                <c:ptCount val="31"/>
                <c:pt idx="0">
                  <c:v>264</c:v>
                </c:pt>
                <c:pt idx="1">
                  <c:v>342</c:v>
                </c:pt>
                <c:pt idx="2">
                  <c:v>327.41039999999992</c:v>
                </c:pt>
                <c:pt idx="3">
                  <c:v>348.23524400000008</c:v>
                </c:pt>
                <c:pt idx="4">
                  <c:v>362.16472400000004</c:v>
                </c:pt>
                <c:pt idx="5">
                  <c:v>351.90003666666667</c:v>
                </c:pt>
                <c:pt idx="6">
                  <c:v>372.60468999999995</c:v>
                </c:pt>
                <c:pt idx="7">
                  <c:v>403.36417749999998</c:v>
                </c:pt>
                <c:pt idx="8">
                  <c:v>422.40649874999997</c:v>
                </c:pt>
                <c:pt idx="9">
                  <c:v>447.75097625000001</c:v>
                </c:pt>
                <c:pt idx="10">
                  <c:v>440.06522999999999</c:v>
                </c:pt>
                <c:pt idx="11">
                  <c:v>472.98659399999997</c:v>
                </c:pt>
                <c:pt idx="12">
                  <c:v>487.17620399999998</c:v>
                </c:pt>
                <c:pt idx="13">
                  <c:v>495.53208999999998</c:v>
                </c:pt>
                <c:pt idx="14">
                  <c:v>503.22586666666666</c:v>
                </c:pt>
                <c:pt idx="15">
                  <c:v>523.35494333333338</c:v>
                </c:pt>
                <c:pt idx="16">
                  <c:v>546.73200999999995</c:v>
                </c:pt>
                <c:pt idx="17">
                  <c:v>563.13388500000008</c:v>
                </c:pt>
                <c:pt idx="18">
                  <c:v>580.02794000000006</c:v>
                </c:pt>
                <c:pt idx="19">
                  <c:v>603.22904500000004</c:v>
                </c:pt>
                <c:pt idx="20">
                  <c:v>644.24854499999992</c:v>
                </c:pt>
                <c:pt idx="21">
                  <c:v>663.57607499999995</c:v>
                </c:pt>
                <c:pt idx="22">
                  <c:v>716.66205249999985</c:v>
                </c:pt>
                <c:pt idx="23">
                  <c:v>729.20365499999991</c:v>
                </c:pt>
                <c:pt idx="24">
                  <c:v>794.83209249999982</c:v>
                </c:pt>
                <c:pt idx="25">
                  <c:v>834.57368750000012</c:v>
                </c:pt>
                <c:pt idx="26">
                  <c:v>863.78389249999998</c:v>
                </c:pt>
                <c:pt idx="27">
                  <c:v>915.6108475000002</c:v>
                </c:pt>
                <c:pt idx="28">
                  <c:v>956.81331749999993</c:v>
                </c:pt>
                <c:pt idx="29">
                  <c:v>999.86989249999988</c:v>
                </c:pt>
                <c:pt idx="30">
                  <c:v>1069.8606375000002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1-0B41-B40A-4B4CCFDDC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839872"/>
        <c:axId val="1571840768"/>
      </c:scatterChart>
      <c:valAx>
        <c:axId val="157183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40768"/>
        <c:crosses val="autoZero"/>
        <c:crossBetween val="midCat"/>
      </c:valAx>
      <c:valAx>
        <c:axId val="157184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3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43</xdr:row>
      <xdr:rowOff>120650</xdr:rowOff>
    </xdr:from>
    <xdr:to>
      <xdr:col>12</xdr:col>
      <xdr:colOff>666750</xdr:colOff>
      <xdr:row>60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FFFE6-1355-BF72-4C17-3C9386DD5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landerman/UMD%20Drive/Github/david-landerman-jour352/final_project/data/Revlimid_Redbook.xlsx" TargetMode="External"/><Relationship Id="rId1" Type="http://schemas.openxmlformats.org/officeDocument/2006/relationships/externalLinkPath" Target="/Users/davidlanderman/UMD%20Drive/Github/david-landerman-jour352/final_project/data/Revlimid_Red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DBOOK"/>
      <sheetName val="STOCK"/>
      <sheetName val="MEDICARE D"/>
      <sheetName val="Medicare Cost"/>
      <sheetName val="Datawrapper Graph"/>
    </sheetNames>
    <sheetDataSet>
      <sheetData sheetId="0"/>
      <sheetData sheetId="1"/>
      <sheetData sheetId="2"/>
      <sheetData sheetId="3">
        <row r="23">
          <cell r="B23">
            <v>350.27887189167751</v>
          </cell>
        </row>
        <row r="24">
          <cell r="B24">
            <v>366.82978970938262</v>
          </cell>
        </row>
        <row r="25">
          <cell r="B25">
            <v>389.28908178236708</v>
          </cell>
        </row>
        <row r="26">
          <cell r="B26">
            <v>418.39983108000001</v>
          </cell>
        </row>
        <row r="27">
          <cell r="B27">
            <v>450.96503587000001</v>
          </cell>
        </row>
        <row r="28">
          <cell r="B28">
            <v>489.91125238000001</v>
          </cell>
        </row>
        <row r="29">
          <cell r="B29">
            <v>543.59019733000002</v>
          </cell>
        </row>
        <row r="30">
          <cell r="B30">
            <v>626.94004510000002</v>
          </cell>
        </row>
        <row r="31">
          <cell r="B31">
            <v>697.35425120000002</v>
          </cell>
        </row>
        <row r="32">
          <cell r="B32">
            <v>745.58849599999996</v>
          </cell>
        </row>
        <row r="33">
          <cell r="B33">
            <v>794.32802649999996</v>
          </cell>
        </row>
        <row r="34">
          <cell r="B34">
            <v>840.1744443</v>
          </cell>
        </row>
        <row r="35">
          <cell r="B35">
            <v>883.09617739999999</v>
          </cell>
        </row>
        <row r="36">
          <cell r="B36">
            <v>878.21219629999996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5.680773032407" createdVersion="8" refreshedVersion="8" minRefreshableVersion="3" recordCount="281" xr:uid="{E746C372-3437-7247-A426-2931994F7CA6}">
  <cacheSource type="worksheet">
    <worksheetSource ref="A1:E282" sheet="Sheet2"/>
  </cacheSource>
  <cacheFields count="8">
    <cacheField name="Effective Date" numFmtId="14">
      <sharedItems containsSemiMixedTypes="0" containsNonDate="0" containsDate="1" containsString="0" minDate="2005-12-29T00:00:00" maxDate="2024-07-02T00:00:00" count="31">
        <d v="2024-07-01T00:00:00"/>
        <d v="2022-01-01T00:00:00"/>
        <d v="2021-01-01T00:00:00"/>
        <d v="2020-01-01T00:00:00"/>
        <d v="2019-01-03T00:00:00"/>
        <d v="2018-07-10T00:00:00"/>
        <d v="2017-10-20T00:00:00"/>
        <d v="2017-07-11T00:00:00"/>
        <d v="2017-01-11T00:00:00"/>
        <d v="2016-08-20T00:00:00"/>
        <d v="2016-03-10T00:00:00"/>
        <d v="2015-10-02T00:00:00"/>
        <d v="2015-06-25T00:00:00"/>
        <d v="2014-12-23T00:00:00"/>
        <d v="2014-09-03T00:00:00"/>
        <d v="2014-03-06T00:00:00"/>
        <d v="2013-10-01T00:00:00"/>
        <d v="2013-03-30T00:00:00"/>
        <d v="2012-11-01T00:00:00"/>
        <d v="2011-11-29T00:00:00"/>
        <d v="2010-12-11T00:00:00"/>
        <d v="2010-01-05T00:00:00"/>
        <d v="2009-05-06T00:00:00"/>
        <d v="2008-12-05T00:00:00"/>
        <d v="2008-01-04T00:00:00"/>
        <d v="2007-01-03T00:00:00"/>
        <d v="2005-12-29T00:00:00"/>
        <d v="2009-04-01T00:00:00"/>
        <d v="2013-06-18T00:00:00"/>
        <d v="2012-04-16T00:00:00"/>
        <d v="2006-06-30T00:00:00"/>
      </sharedItems>
      <fieldGroup par="7"/>
    </cacheField>
    <cacheField name="Unit" numFmtId="0">
      <sharedItems containsSemiMixedTypes="0" containsString="0" containsNumber="1" minValue="258" maxValue="1069.86095"/>
    </cacheField>
    <cacheField name="Identifier" numFmtId="0">
      <sharedItems count="12">
        <s v="59572-0405-00"/>
        <s v="59572-0405-28"/>
        <s v="59572-0420-21"/>
        <s v="59572-0420-00"/>
        <s v="59572-0402-00"/>
        <s v="59572-0402-28"/>
        <s v="59572-0425-00"/>
        <s v="59572-0425-21"/>
        <s v="59572-0415-21"/>
        <s v="59572-0415-00"/>
        <s v="59572-0410-00"/>
        <s v="59572-0410-28"/>
      </sharedItems>
    </cacheField>
    <cacheField name="Dosage" numFmtId="0">
      <sharedItems count="6">
        <s v="5 mg"/>
        <s v="20 mg"/>
        <s v="2.5 mg"/>
        <s v="25 mg"/>
        <s v="15 mg"/>
        <s v="10 mg"/>
      </sharedItems>
    </cacheField>
    <cacheField name="Package Size" numFmtId="0">
      <sharedItems count="3">
        <s v="100s ea"/>
        <s v="28s ea"/>
        <s v="21s ea"/>
      </sharedItems>
    </cacheField>
    <cacheField name="Months (Effective Date)" numFmtId="0" databaseField="0">
      <fieldGroup base="0">
        <rangePr groupBy="months" startDate="2005-12-29T00:00:00" endDate="2024-07-02T00:00:00"/>
        <groupItems count="14">
          <s v="&lt;12/29/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4"/>
        </groupItems>
      </fieldGroup>
    </cacheField>
    <cacheField name="Quarters (Effective Date)" numFmtId="0" databaseField="0">
      <fieldGroup base="0">
        <rangePr groupBy="quarters" startDate="2005-12-29T00:00:00" endDate="2024-07-02T00:00:00"/>
        <groupItems count="6">
          <s v="&lt;12/29/05"/>
          <s v="Qtr1"/>
          <s v="Qtr2"/>
          <s v="Qtr3"/>
          <s v="Qtr4"/>
          <s v="&gt;7/2/24"/>
        </groupItems>
      </fieldGroup>
    </cacheField>
    <cacheField name="Years (Effective Date)" numFmtId="0" databaseField="0">
      <fieldGroup base="0">
        <rangePr groupBy="years" startDate="2005-12-29T00:00:00" endDate="2024-07-02T00:00:00"/>
        <groupItems count="22">
          <s v="&lt;12/29/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7/2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x v="0"/>
    <n v="1069.8607999999999"/>
    <x v="0"/>
    <x v="0"/>
    <x v="0"/>
  </r>
  <r>
    <x v="1"/>
    <n v="999.86990000000003"/>
    <x v="0"/>
    <x v="0"/>
    <x v="0"/>
  </r>
  <r>
    <x v="2"/>
    <n v="956.81330000000003"/>
    <x v="0"/>
    <x v="0"/>
    <x v="0"/>
  </r>
  <r>
    <x v="3"/>
    <n v="915.61080000000004"/>
    <x v="0"/>
    <x v="0"/>
    <x v="0"/>
  </r>
  <r>
    <x v="4"/>
    <n v="863.78380000000004"/>
    <x v="0"/>
    <x v="0"/>
    <x v="0"/>
  </r>
  <r>
    <x v="5"/>
    <n v="834.57380000000001"/>
    <x v="0"/>
    <x v="0"/>
    <x v="0"/>
  </r>
  <r>
    <x v="6"/>
    <n v="794.83209999999997"/>
    <x v="0"/>
    <x v="0"/>
    <x v="0"/>
  </r>
  <r>
    <x v="7"/>
    <n v="729.2038"/>
    <x v="0"/>
    <x v="0"/>
    <x v="0"/>
  </r>
  <r>
    <x v="8"/>
    <n v="716.66219999999998"/>
    <x v="0"/>
    <x v="0"/>
    <x v="0"/>
  </r>
  <r>
    <x v="9"/>
    <n v="663.57619999999997"/>
    <x v="0"/>
    <x v="0"/>
    <x v="0"/>
  </r>
  <r>
    <x v="10"/>
    <n v="644.24869999999999"/>
    <x v="0"/>
    <x v="0"/>
    <x v="0"/>
  </r>
  <r>
    <x v="11"/>
    <n v="603.22910000000002"/>
    <x v="0"/>
    <x v="0"/>
    <x v="0"/>
  </r>
  <r>
    <x v="12"/>
    <n v="580.02790000000005"/>
    <x v="0"/>
    <x v="0"/>
    <x v="0"/>
  </r>
  <r>
    <x v="13"/>
    <n v="563.13390000000004"/>
    <x v="0"/>
    <x v="0"/>
    <x v="0"/>
  </r>
  <r>
    <x v="14"/>
    <n v="546.73199999999997"/>
    <x v="0"/>
    <x v="0"/>
    <x v="0"/>
  </r>
  <r>
    <x v="15"/>
    <n v="514.6721"/>
    <x v="0"/>
    <x v="0"/>
    <x v="0"/>
  </r>
  <r>
    <x v="16"/>
    <n v="494.87700000000001"/>
    <x v="0"/>
    <x v="0"/>
    <x v="0"/>
  </r>
  <r>
    <x v="17"/>
    <n v="480.4631"/>
    <x v="0"/>
    <x v="0"/>
    <x v="0"/>
  </r>
  <r>
    <x v="18"/>
    <n v="466.46910000000003"/>
    <x v="0"/>
    <x v="0"/>
    <x v="0"/>
  </r>
  <r>
    <x v="19"/>
    <n v="440.06509999999997"/>
    <x v="0"/>
    <x v="0"/>
    <x v="0"/>
  </r>
  <r>
    <x v="20"/>
    <n v="415.15570000000002"/>
    <x v="0"/>
    <x v="0"/>
    <x v="0"/>
  </r>
  <r>
    <x v="21"/>
    <n v="388.00029999999998"/>
    <x v="0"/>
    <x v="0"/>
    <x v="0"/>
  </r>
  <r>
    <x v="22"/>
    <n v="356.29039999999998"/>
    <x v="0"/>
    <x v="0"/>
    <x v="0"/>
  </r>
  <r>
    <x v="23"/>
    <n v="324.07709999999997"/>
    <x v="0"/>
    <x v="0"/>
    <x v="0"/>
  </r>
  <r>
    <x v="24"/>
    <n v="311.61270000000002"/>
    <x v="0"/>
    <x v="0"/>
    <x v="0"/>
  </r>
  <r>
    <x v="25"/>
    <n v="283.54199999999997"/>
    <x v="0"/>
    <x v="0"/>
    <x v="0"/>
  </r>
  <r>
    <x v="26"/>
    <n v="258"/>
    <x v="0"/>
    <x v="0"/>
    <x v="0"/>
  </r>
  <r>
    <x v="0"/>
    <n v="1069.8599999999999"/>
    <x v="1"/>
    <x v="0"/>
    <x v="1"/>
  </r>
  <r>
    <x v="1"/>
    <n v="999.86928999999998"/>
    <x v="1"/>
    <x v="0"/>
    <x v="1"/>
  </r>
  <r>
    <x v="2"/>
    <n v="956.81286"/>
    <x v="1"/>
    <x v="0"/>
    <x v="1"/>
  </r>
  <r>
    <x v="3"/>
    <n v="915.61036000000001"/>
    <x v="1"/>
    <x v="0"/>
    <x v="1"/>
  </r>
  <r>
    <x v="4"/>
    <n v="863.78321000000005"/>
    <x v="1"/>
    <x v="0"/>
    <x v="1"/>
  </r>
  <r>
    <x v="5"/>
    <n v="834.57285999999999"/>
    <x v="1"/>
    <x v="0"/>
    <x v="1"/>
  </r>
  <r>
    <x v="6"/>
    <n v="794.83178999999996"/>
    <x v="1"/>
    <x v="0"/>
    <x v="1"/>
  </r>
  <r>
    <x v="7"/>
    <n v="729.20321000000001"/>
    <x v="1"/>
    <x v="0"/>
    <x v="1"/>
  </r>
  <r>
    <x v="8"/>
    <n v="716.66143"/>
    <x v="1"/>
    <x v="0"/>
    <x v="1"/>
  </r>
  <r>
    <x v="9"/>
    <n v="663.57570999999996"/>
    <x v="1"/>
    <x v="0"/>
    <x v="1"/>
  </r>
  <r>
    <x v="10"/>
    <n v="644.24820999999997"/>
    <x v="1"/>
    <x v="0"/>
    <x v="1"/>
  </r>
  <r>
    <x v="11"/>
    <n v="603.22892999999999"/>
    <x v="1"/>
    <x v="0"/>
    <x v="1"/>
  </r>
  <r>
    <x v="12"/>
    <n v="580.02786000000003"/>
    <x v="1"/>
    <x v="0"/>
    <x v="1"/>
  </r>
  <r>
    <x v="13"/>
    <n v="563.13392999999996"/>
    <x v="1"/>
    <x v="0"/>
    <x v="1"/>
  </r>
  <r>
    <x v="14"/>
    <n v="546.73213999999996"/>
    <x v="1"/>
    <x v="0"/>
    <x v="1"/>
  </r>
  <r>
    <x v="15"/>
    <n v="514.67214000000001"/>
    <x v="1"/>
    <x v="0"/>
    <x v="1"/>
  </r>
  <r>
    <x v="16"/>
    <n v="494.87714"/>
    <x v="1"/>
    <x v="0"/>
    <x v="1"/>
  </r>
  <r>
    <x v="17"/>
    <n v="480.46321"/>
    <x v="1"/>
    <x v="0"/>
    <x v="1"/>
  </r>
  <r>
    <x v="18"/>
    <n v="466.46929"/>
    <x v="1"/>
    <x v="0"/>
    <x v="1"/>
  </r>
  <r>
    <x v="19"/>
    <n v="440.06536"/>
    <x v="1"/>
    <x v="0"/>
    <x v="1"/>
  </r>
  <r>
    <x v="20"/>
    <n v="415.15571"/>
    <x v="1"/>
    <x v="0"/>
    <x v="1"/>
  </r>
  <r>
    <x v="21"/>
    <n v="387.99786"/>
    <x v="1"/>
    <x v="0"/>
    <x v="1"/>
  </r>
  <r>
    <x v="22"/>
    <n v="356.28820999999999"/>
    <x v="1"/>
    <x v="0"/>
    <x v="1"/>
  </r>
  <r>
    <x v="27"/>
    <n v="324.07213999999999"/>
    <x v="1"/>
    <x v="0"/>
    <x v="1"/>
  </r>
  <r>
    <x v="0"/>
    <n v="1069.86095"/>
    <x v="2"/>
    <x v="1"/>
    <x v="2"/>
  </r>
  <r>
    <x v="1"/>
    <n v="999.87048000000004"/>
    <x v="2"/>
    <x v="1"/>
    <x v="2"/>
  </r>
  <r>
    <x v="2"/>
    <n v="956.81380999999999"/>
    <x v="2"/>
    <x v="1"/>
    <x v="2"/>
  </r>
  <r>
    <x v="3"/>
    <n v="915.61143000000004"/>
    <x v="2"/>
    <x v="1"/>
    <x v="2"/>
  </r>
  <r>
    <x v="4"/>
    <n v="863.78476000000001"/>
    <x v="2"/>
    <x v="1"/>
    <x v="2"/>
  </r>
  <r>
    <x v="5"/>
    <n v="834.57429000000002"/>
    <x v="2"/>
    <x v="1"/>
    <x v="2"/>
  </r>
  <r>
    <x v="6"/>
    <n v="794.83237999999994"/>
    <x v="2"/>
    <x v="1"/>
    <x v="2"/>
  </r>
  <r>
    <x v="7"/>
    <n v="729.20380999999998"/>
    <x v="2"/>
    <x v="1"/>
    <x v="2"/>
  </r>
  <r>
    <x v="8"/>
    <n v="716.66237999999998"/>
    <x v="2"/>
    <x v="1"/>
    <x v="2"/>
  </r>
  <r>
    <x v="9"/>
    <n v="663.57619"/>
    <x v="2"/>
    <x v="1"/>
    <x v="2"/>
  </r>
  <r>
    <x v="10"/>
    <n v="644.24856999999997"/>
    <x v="2"/>
    <x v="1"/>
    <x v="2"/>
  </r>
  <r>
    <x v="11"/>
    <n v="603.22905000000003"/>
    <x v="2"/>
    <x v="1"/>
    <x v="2"/>
  </r>
  <r>
    <x v="12"/>
    <n v="580.02809999999999"/>
    <x v="2"/>
    <x v="1"/>
    <x v="2"/>
  </r>
  <r>
    <x v="13"/>
    <n v="563.13381000000004"/>
    <x v="2"/>
    <x v="1"/>
    <x v="2"/>
  </r>
  <r>
    <x v="14"/>
    <n v="546.7319"/>
    <x v="2"/>
    <x v="1"/>
    <x v="2"/>
  </r>
  <r>
    <x v="15"/>
    <n v="530.81429000000003"/>
    <x v="2"/>
    <x v="1"/>
    <x v="2"/>
  </r>
  <r>
    <x v="16"/>
    <n v="510.3981"/>
    <x v="2"/>
    <x v="1"/>
    <x v="2"/>
  </r>
  <r>
    <x v="28"/>
    <n v="495.53237999999999"/>
    <x v="2"/>
    <x v="1"/>
    <x v="2"/>
  </r>
  <r>
    <x v="0"/>
    <n v="1069.8607999999999"/>
    <x v="3"/>
    <x v="1"/>
    <x v="0"/>
  </r>
  <r>
    <x v="1"/>
    <n v="999.86990000000003"/>
    <x v="3"/>
    <x v="1"/>
    <x v="0"/>
  </r>
  <r>
    <x v="2"/>
    <n v="956.81330000000003"/>
    <x v="3"/>
    <x v="1"/>
    <x v="0"/>
  </r>
  <r>
    <x v="3"/>
    <n v="915.61080000000004"/>
    <x v="3"/>
    <x v="1"/>
    <x v="0"/>
  </r>
  <r>
    <x v="4"/>
    <n v="863.78380000000004"/>
    <x v="3"/>
    <x v="1"/>
    <x v="0"/>
  </r>
  <r>
    <x v="5"/>
    <n v="834.57380000000001"/>
    <x v="3"/>
    <x v="1"/>
    <x v="0"/>
  </r>
  <r>
    <x v="6"/>
    <n v="794.83209999999997"/>
    <x v="3"/>
    <x v="1"/>
    <x v="0"/>
  </r>
  <r>
    <x v="7"/>
    <n v="729.2038"/>
    <x v="3"/>
    <x v="1"/>
    <x v="0"/>
  </r>
  <r>
    <x v="8"/>
    <n v="716.66219999999998"/>
    <x v="3"/>
    <x v="1"/>
    <x v="0"/>
  </r>
  <r>
    <x v="9"/>
    <n v="663.57619999999997"/>
    <x v="3"/>
    <x v="1"/>
    <x v="0"/>
  </r>
  <r>
    <x v="10"/>
    <n v="644.24869999999999"/>
    <x v="3"/>
    <x v="1"/>
    <x v="0"/>
  </r>
  <r>
    <x v="11"/>
    <n v="603.22910000000002"/>
    <x v="3"/>
    <x v="1"/>
    <x v="0"/>
  </r>
  <r>
    <x v="12"/>
    <n v="580.02790000000005"/>
    <x v="3"/>
    <x v="1"/>
    <x v="0"/>
  </r>
  <r>
    <x v="13"/>
    <n v="563.13390000000004"/>
    <x v="3"/>
    <x v="1"/>
    <x v="0"/>
  </r>
  <r>
    <x v="14"/>
    <n v="546.73199999999997"/>
    <x v="3"/>
    <x v="1"/>
    <x v="0"/>
  </r>
  <r>
    <x v="15"/>
    <n v="530.81380000000001"/>
    <x v="3"/>
    <x v="1"/>
    <x v="0"/>
  </r>
  <r>
    <x v="16"/>
    <n v="510.39780000000002"/>
    <x v="3"/>
    <x v="1"/>
    <x v="0"/>
  </r>
  <r>
    <x v="28"/>
    <n v="495.53179999999998"/>
    <x v="3"/>
    <x v="1"/>
    <x v="0"/>
  </r>
  <r>
    <x v="0"/>
    <n v="1069.8607999999999"/>
    <x v="4"/>
    <x v="2"/>
    <x v="0"/>
  </r>
  <r>
    <x v="1"/>
    <n v="999.86990000000003"/>
    <x v="4"/>
    <x v="2"/>
    <x v="0"/>
  </r>
  <r>
    <x v="2"/>
    <n v="956.81330000000003"/>
    <x v="4"/>
    <x v="2"/>
    <x v="0"/>
  </r>
  <r>
    <x v="3"/>
    <n v="915.61080000000004"/>
    <x v="4"/>
    <x v="2"/>
    <x v="0"/>
  </r>
  <r>
    <x v="4"/>
    <n v="863.78380000000004"/>
    <x v="4"/>
    <x v="2"/>
    <x v="0"/>
  </r>
  <r>
    <x v="5"/>
    <n v="834.57380000000001"/>
    <x v="4"/>
    <x v="2"/>
    <x v="0"/>
  </r>
  <r>
    <x v="6"/>
    <n v="794.83209999999997"/>
    <x v="4"/>
    <x v="2"/>
    <x v="0"/>
  </r>
  <r>
    <x v="7"/>
    <n v="729.2038"/>
    <x v="4"/>
    <x v="2"/>
    <x v="0"/>
  </r>
  <r>
    <x v="8"/>
    <n v="716.66219999999998"/>
    <x v="4"/>
    <x v="2"/>
    <x v="0"/>
  </r>
  <r>
    <x v="9"/>
    <n v="663.57619999999997"/>
    <x v="4"/>
    <x v="2"/>
    <x v="0"/>
  </r>
  <r>
    <x v="10"/>
    <n v="644.24869999999999"/>
    <x v="4"/>
    <x v="2"/>
    <x v="0"/>
  </r>
  <r>
    <x v="11"/>
    <n v="603.22910000000002"/>
    <x v="4"/>
    <x v="2"/>
    <x v="0"/>
  </r>
  <r>
    <x v="12"/>
    <n v="580.02790000000005"/>
    <x v="4"/>
    <x v="2"/>
    <x v="0"/>
  </r>
  <r>
    <x v="13"/>
    <n v="563.13390000000004"/>
    <x v="4"/>
    <x v="2"/>
    <x v="0"/>
  </r>
  <r>
    <x v="14"/>
    <n v="546.73199999999997"/>
    <x v="4"/>
    <x v="2"/>
    <x v="0"/>
  </r>
  <r>
    <x v="15"/>
    <n v="514.6721"/>
    <x v="4"/>
    <x v="2"/>
    <x v="0"/>
  </r>
  <r>
    <x v="16"/>
    <n v="494.87700000000001"/>
    <x v="4"/>
    <x v="2"/>
    <x v="0"/>
  </r>
  <r>
    <x v="17"/>
    <n v="480.4631"/>
    <x v="4"/>
    <x v="2"/>
    <x v="0"/>
  </r>
  <r>
    <x v="18"/>
    <n v="466.46910000000003"/>
    <x v="4"/>
    <x v="2"/>
    <x v="0"/>
  </r>
  <r>
    <x v="29"/>
    <n v="440.06509999999997"/>
    <x v="4"/>
    <x v="2"/>
    <x v="0"/>
  </r>
  <r>
    <x v="0"/>
    <n v="1069.8599999999999"/>
    <x v="5"/>
    <x v="2"/>
    <x v="1"/>
  </r>
  <r>
    <x v="1"/>
    <n v="999.86928999999998"/>
    <x v="5"/>
    <x v="2"/>
    <x v="1"/>
  </r>
  <r>
    <x v="2"/>
    <n v="956.81286"/>
    <x v="5"/>
    <x v="2"/>
    <x v="1"/>
  </r>
  <r>
    <x v="3"/>
    <n v="915.61036000000001"/>
    <x v="5"/>
    <x v="2"/>
    <x v="1"/>
  </r>
  <r>
    <x v="4"/>
    <n v="863.78321000000005"/>
    <x v="5"/>
    <x v="2"/>
    <x v="1"/>
  </r>
  <r>
    <x v="5"/>
    <n v="834.57285999999999"/>
    <x v="5"/>
    <x v="2"/>
    <x v="1"/>
  </r>
  <r>
    <x v="6"/>
    <n v="794.83178999999996"/>
    <x v="5"/>
    <x v="2"/>
    <x v="1"/>
  </r>
  <r>
    <x v="7"/>
    <n v="729.20321000000001"/>
    <x v="5"/>
    <x v="2"/>
    <x v="1"/>
  </r>
  <r>
    <x v="8"/>
    <n v="716.66143"/>
    <x v="5"/>
    <x v="2"/>
    <x v="1"/>
  </r>
  <r>
    <x v="9"/>
    <n v="663.57570999999996"/>
    <x v="5"/>
    <x v="2"/>
    <x v="1"/>
  </r>
  <r>
    <x v="10"/>
    <n v="644.24820999999997"/>
    <x v="5"/>
    <x v="2"/>
    <x v="1"/>
  </r>
  <r>
    <x v="11"/>
    <n v="603.22892999999999"/>
    <x v="5"/>
    <x v="2"/>
    <x v="1"/>
  </r>
  <r>
    <x v="12"/>
    <n v="580.02786000000003"/>
    <x v="5"/>
    <x v="2"/>
    <x v="1"/>
  </r>
  <r>
    <x v="13"/>
    <n v="563.13392999999996"/>
    <x v="5"/>
    <x v="2"/>
    <x v="1"/>
  </r>
  <r>
    <x v="14"/>
    <n v="546.73213999999996"/>
    <x v="5"/>
    <x v="2"/>
    <x v="1"/>
  </r>
  <r>
    <x v="15"/>
    <n v="514.67214000000001"/>
    <x v="5"/>
    <x v="2"/>
    <x v="1"/>
  </r>
  <r>
    <x v="16"/>
    <n v="494.87714"/>
    <x v="5"/>
    <x v="2"/>
    <x v="1"/>
  </r>
  <r>
    <x v="17"/>
    <n v="480.46321"/>
    <x v="5"/>
    <x v="2"/>
    <x v="1"/>
  </r>
  <r>
    <x v="18"/>
    <n v="466.46929"/>
    <x v="5"/>
    <x v="2"/>
    <x v="1"/>
  </r>
  <r>
    <x v="29"/>
    <n v="440.06536"/>
    <x v="5"/>
    <x v="2"/>
    <x v="1"/>
  </r>
  <r>
    <x v="0"/>
    <n v="1069.8607999999999"/>
    <x v="6"/>
    <x v="3"/>
    <x v="0"/>
  </r>
  <r>
    <x v="1"/>
    <n v="999.86990000000003"/>
    <x v="6"/>
    <x v="3"/>
    <x v="0"/>
  </r>
  <r>
    <x v="2"/>
    <n v="956.81330000000003"/>
    <x v="6"/>
    <x v="3"/>
    <x v="0"/>
  </r>
  <r>
    <x v="3"/>
    <n v="915.61080000000004"/>
    <x v="6"/>
    <x v="3"/>
    <x v="0"/>
  </r>
  <r>
    <x v="4"/>
    <n v="863.78380000000004"/>
    <x v="6"/>
    <x v="3"/>
    <x v="0"/>
  </r>
  <r>
    <x v="5"/>
    <n v="834.57380000000001"/>
    <x v="6"/>
    <x v="3"/>
    <x v="0"/>
  </r>
  <r>
    <x v="6"/>
    <n v="794.83209999999997"/>
    <x v="6"/>
    <x v="3"/>
    <x v="0"/>
  </r>
  <r>
    <x v="7"/>
    <n v="729.2038"/>
    <x v="6"/>
    <x v="3"/>
    <x v="0"/>
  </r>
  <r>
    <x v="8"/>
    <n v="716.66219999999998"/>
    <x v="6"/>
    <x v="3"/>
    <x v="0"/>
  </r>
  <r>
    <x v="9"/>
    <n v="663.57619999999997"/>
    <x v="6"/>
    <x v="3"/>
    <x v="0"/>
  </r>
  <r>
    <x v="10"/>
    <n v="644.24869999999999"/>
    <x v="6"/>
    <x v="3"/>
    <x v="0"/>
  </r>
  <r>
    <x v="11"/>
    <n v="603.22910000000002"/>
    <x v="6"/>
    <x v="3"/>
    <x v="0"/>
  </r>
  <r>
    <x v="12"/>
    <n v="580.02790000000005"/>
    <x v="6"/>
    <x v="3"/>
    <x v="0"/>
  </r>
  <r>
    <x v="13"/>
    <n v="563.13390000000004"/>
    <x v="6"/>
    <x v="3"/>
    <x v="0"/>
  </r>
  <r>
    <x v="14"/>
    <n v="546.73199999999997"/>
    <x v="6"/>
    <x v="3"/>
    <x v="0"/>
  </r>
  <r>
    <x v="15"/>
    <n v="530.81380000000001"/>
    <x v="6"/>
    <x v="3"/>
    <x v="0"/>
  </r>
  <r>
    <x v="16"/>
    <n v="510.39780000000002"/>
    <x v="6"/>
    <x v="3"/>
    <x v="0"/>
  </r>
  <r>
    <x v="17"/>
    <n v="495.53179999999998"/>
    <x v="6"/>
    <x v="3"/>
    <x v="0"/>
  </r>
  <r>
    <x v="18"/>
    <n v="481.09879999999998"/>
    <x v="6"/>
    <x v="3"/>
    <x v="0"/>
  </r>
  <r>
    <x v="19"/>
    <n v="453.86689999999999"/>
    <x v="6"/>
    <x v="3"/>
    <x v="0"/>
  </r>
  <r>
    <x v="20"/>
    <n v="428.17630000000003"/>
    <x v="6"/>
    <x v="3"/>
    <x v="0"/>
  </r>
  <r>
    <x v="21"/>
    <n v="411.70839999999998"/>
    <x v="6"/>
    <x v="3"/>
    <x v="0"/>
  </r>
  <r>
    <x v="23"/>
    <n v="392.47699999999998"/>
    <x v="6"/>
    <x v="3"/>
    <x v="0"/>
  </r>
  <r>
    <x v="24"/>
    <n v="377.3818"/>
    <x v="6"/>
    <x v="3"/>
    <x v="0"/>
  </r>
  <r>
    <x v="25"/>
    <n v="364.62"/>
    <x v="6"/>
    <x v="3"/>
    <x v="0"/>
  </r>
  <r>
    <x v="30"/>
    <n v="354"/>
    <x v="6"/>
    <x v="3"/>
    <x v="0"/>
  </r>
  <r>
    <x v="0"/>
    <n v="1069.86095"/>
    <x v="7"/>
    <x v="3"/>
    <x v="2"/>
  </r>
  <r>
    <x v="1"/>
    <n v="999.87048000000004"/>
    <x v="7"/>
    <x v="3"/>
    <x v="2"/>
  </r>
  <r>
    <x v="2"/>
    <n v="956.81380999999999"/>
    <x v="7"/>
    <x v="3"/>
    <x v="2"/>
  </r>
  <r>
    <x v="3"/>
    <n v="915.61143000000004"/>
    <x v="7"/>
    <x v="3"/>
    <x v="2"/>
  </r>
  <r>
    <x v="4"/>
    <n v="863.78476000000001"/>
    <x v="7"/>
    <x v="3"/>
    <x v="2"/>
  </r>
  <r>
    <x v="5"/>
    <n v="834.57429000000002"/>
    <x v="7"/>
    <x v="3"/>
    <x v="2"/>
  </r>
  <r>
    <x v="6"/>
    <n v="794.83237999999994"/>
    <x v="7"/>
    <x v="3"/>
    <x v="2"/>
  </r>
  <r>
    <x v="7"/>
    <n v="729.20380999999998"/>
    <x v="7"/>
    <x v="3"/>
    <x v="2"/>
  </r>
  <r>
    <x v="8"/>
    <n v="716.66237999999998"/>
    <x v="7"/>
    <x v="3"/>
    <x v="2"/>
  </r>
  <r>
    <x v="9"/>
    <n v="663.57619"/>
    <x v="7"/>
    <x v="3"/>
    <x v="2"/>
  </r>
  <r>
    <x v="10"/>
    <n v="644.24856999999997"/>
    <x v="7"/>
    <x v="3"/>
    <x v="2"/>
  </r>
  <r>
    <x v="11"/>
    <n v="603.22905000000003"/>
    <x v="7"/>
    <x v="3"/>
    <x v="2"/>
  </r>
  <r>
    <x v="12"/>
    <n v="580.02809999999999"/>
    <x v="7"/>
    <x v="3"/>
    <x v="2"/>
  </r>
  <r>
    <x v="13"/>
    <n v="563.13381000000004"/>
    <x v="7"/>
    <x v="3"/>
    <x v="2"/>
  </r>
  <r>
    <x v="14"/>
    <n v="546.7319"/>
    <x v="7"/>
    <x v="3"/>
    <x v="2"/>
  </r>
  <r>
    <x v="15"/>
    <n v="530.81429000000003"/>
    <x v="7"/>
    <x v="3"/>
    <x v="2"/>
  </r>
  <r>
    <x v="16"/>
    <n v="510.3981"/>
    <x v="7"/>
    <x v="3"/>
    <x v="2"/>
  </r>
  <r>
    <x v="17"/>
    <n v="495.53237999999999"/>
    <x v="7"/>
    <x v="3"/>
    <x v="2"/>
  </r>
  <r>
    <x v="18"/>
    <n v="481.09951999999998"/>
    <x v="7"/>
    <x v="3"/>
    <x v="2"/>
  </r>
  <r>
    <x v="19"/>
    <n v="453.86761999999999"/>
    <x v="7"/>
    <x v="3"/>
    <x v="2"/>
  </r>
  <r>
    <x v="20"/>
    <n v="428.17667"/>
    <x v="7"/>
    <x v="3"/>
    <x v="2"/>
  </r>
  <r>
    <x v="21"/>
    <n v="411.70285999999999"/>
    <x v="7"/>
    <x v="3"/>
    <x v="2"/>
  </r>
  <r>
    <x v="27"/>
    <n v="392.47190000000001"/>
    <x v="7"/>
    <x v="3"/>
    <x v="2"/>
  </r>
  <r>
    <x v="0"/>
    <n v="1069.86095"/>
    <x v="8"/>
    <x v="4"/>
    <x v="2"/>
  </r>
  <r>
    <x v="1"/>
    <n v="999.87048000000004"/>
    <x v="8"/>
    <x v="4"/>
    <x v="2"/>
  </r>
  <r>
    <x v="2"/>
    <n v="956.81380999999999"/>
    <x v="8"/>
    <x v="4"/>
    <x v="2"/>
  </r>
  <r>
    <x v="3"/>
    <n v="915.61143000000004"/>
    <x v="8"/>
    <x v="4"/>
    <x v="2"/>
  </r>
  <r>
    <x v="4"/>
    <n v="863.78476000000001"/>
    <x v="8"/>
    <x v="4"/>
    <x v="2"/>
  </r>
  <r>
    <x v="5"/>
    <n v="834.57429000000002"/>
    <x v="8"/>
    <x v="4"/>
    <x v="2"/>
  </r>
  <r>
    <x v="6"/>
    <n v="794.83237999999994"/>
    <x v="8"/>
    <x v="4"/>
    <x v="2"/>
  </r>
  <r>
    <x v="7"/>
    <n v="729.20380999999998"/>
    <x v="8"/>
    <x v="4"/>
    <x v="2"/>
  </r>
  <r>
    <x v="8"/>
    <n v="716.66237999999998"/>
    <x v="8"/>
    <x v="4"/>
    <x v="2"/>
  </r>
  <r>
    <x v="9"/>
    <n v="663.57619"/>
    <x v="8"/>
    <x v="4"/>
    <x v="2"/>
  </r>
  <r>
    <x v="10"/>
    <n v="644.24856999999997"/>
    <x v="8"/>
    <x v="4"/>
    <x v="2"/>
  </r>
  <r>
    <x v="11"/>
    <n v="603.22905000000003"/>
    <x v="8"/>
    <x v="4"/>
    <x v="2"/>
  </r>
  <r>
    <x v="12"/>
    <n v="580.02809999999999"/>
    <x v="8"/>
    <x v="4"/>
    <x v="2"/>
  </r>
  <r>
    <x v="13"/>
    <n v="563.13381000000004"/>
    <x v="8"/>
    <x v="4"/>
    <x v="2"/>
  </r>
  <r>
    <x v="14"/>
    <n v="546.7319"/>
    <x v="8"/>
    <x v="4"/>
    <x v="2"/>
  </r>
  <r>
    <x v="15"/>
    <n v="525.64619000000005"/>
    <x v="8"/>
    <x v="4"/>
    <x v="2"/>
  </r>
  <r>
    <x v="16"/>
    <n v="505.42905000000002"/>
    <x v="8"/>
    <x v="4"/>
    <x v="2"/>
  </r>
  <r>
    <x v="17"/>
    <n v="490.7081"/>
    <x v="8"/>
    <x v="4"/>
    <x v="2"/>
  </r>
  <r>
    <x v="18"/>
    <n v="476.41523999999998"/>
    <x v="8"/>
    <x v="4"/>
    <x v="2"/>
  </r>
  <r>
    <x v="19"/>
    <n v="449.44857000000002"/>
    <x v="8"/>
    <x v="4"/>
    <x v="2"/>
  </r>
  <r>
    <x v="20"/>
    <n v="424.00810000000001"/>
    <x v="8"/>
    <x v="4"/>
    <x v="2"/>
  </r>
  <r>
    <x v="21"/>
    <n v="407.70380999999998"/>
    <x v="8"/>
    <x v="4"/>
    <x v="2"/>
  </r>
  <r>
    <x v="22"/>
    <n v="388.65951999999999"/>
    <x v="8"/>
    <x v="4"/>
    <x v="2"/>
  </r>
  <r>
    <x v="23"/>
    <n v="377.55952000000002"/>
    <x v="8"/>
    <x v="4"/>
    <x v="2"/>
  </r>
  <r>
    <x v="24"/>
    <n v="363.03762"/>
    <x v="8"/>
    <x v="4"/>
    <x v="2"/>
  </r>
  <r>
    <x v="25"/>
    <n v="346.08"/>
    <x v="8"/>
    <x v="4"/>
    <x v="2"/>
  </r>
  <r>
    <x v="30"/>
    <n v="336"/>
    <x v="8"/>
    <x v="4"/>
    <x v="2"/>
  </r>
  <r>
    <x v="0"/>
    <n v="1069.8607999999999"/>
    <x v="9"/>
    <x v="4"/>
    <x v="0"/>
  </r>
  <r>
    <x v="1"/>
    <n v="999.86990000000003"/>
    <x v="9"/>
    <x v="4"/>
    <x v="0"/>
  </r>
  <r>
    <x v="2"/>
    <n v="956.81330000000003"/>
    <x v="9"/>
    <x v="4"/>
    <x v="0"/>
  </r>
  <r>
    <x v="3"/>
    <n v="915.61080000000004"/>
    <x v="9"/>
    <x v="4"/>
    <x v="0"/>
  </r>
  <r>
    <x v="4"/>
    <n v="863.78380000000004"/>
    <x v="9"/>
    <x v="4"/>
    <x v="0"/>
  </r>
  <r>
    <x v="5"/>
    <n v="834.57380000000001"/>
    <x v="9"/>
    <x v="4"/>
    <x v="0"/>
  </r>
  <r>
    <x v="6"/>
    <n v="794.83209999999997"/>
    <x v="9"/>
    <x v="4"/>
    <x v="0"/>
  </r>
  <r>
    <x v="7"/>
    <n v="729.2038"/>
    <x v="9"/>
    <x v="4"/>
    <x v="0"/>
  </r>
  <r>
    <x v="8"/>
    <n v="716.66219999999998"/>
    <x v="9"/>
    <x v="4"/>
    <x v="0"/>
  </r>
  <r>
    <x v="9"/>
    <n v="663.57619999999997"/>
    <x v="9"/>
    <x v="4"/>
    <x v="0"/>
  </r>
  <r>
    <x v="10"/>
    <n v="644.24869999999999"/>
    <x v="9"/>
    <x v="4"/>
    <x v="0"/>
  </r>
  <r>
    <x v="11"/>
    <n v="603.22910000000002"/>
    <x v="9"/>
    <x v="4"/>
    <x v="0"/>
  </r>
  <r>
    <x v="12"/>
    <n v="580.02790000000005"/>
    <x v="9"/>
    <x v="4"/>
    <x v="0"/>
  </r>
  <r>
    <x v="13"/>
    <n v="563.13390000000004"/>
    <x v="9"/>
    <x v="4"/>
    <x v="0"/>
  </r>
  <r>
    <x v="14"/>
    <n v="546.73199999999997"/>
    <x v="9"/>
    <x v="4"/>
    <x v="0"/>
  </r>
  <r>
    <x v="15"/>
    <n v="525.64620000000002"/>
    <x v="9"/>
    <x v="4"/>
    <x v="0"/>
  </r>
  <r>
    <x v="16"/>
    <n v="505.42910000000001"/>
    <x v="9"/>
    <x v="4"/>
    <x v="0"/>
  </r>
  <r>
    <x v="17"/>
    <n v="490.7079"/>
    <x v="9"/>
    <x v="4"/>
    <x v="0"/>
  </r>
  <r>
    <x v="18"/>
    <n v="476.41539999999998"/>
    <x v="9"/>
    <x v="4"/>
    <x v="0"/>
  </r>
  <r>
    <x v="19"/>
    <n v="449.44850000000002"/>
    <x v="9"/>
    <x v="4"/>
    <x v="0"/>
  </r>
  <r>
    <x v="20"/>
    <n v="424.00799999999998"/>
    <x v="9"/>
    <x v="4"/>
    <x v="0"/>
  </r>
  <r>
    <x v="21"/>
    <n v="407.70409999999998"/>
    <x v="9"/>
    <x v="4"/>
    <x v="0"/>
  </r>
  <r>
    <x v="22"/>
    <n v="388.65969999999999"/>
    <x v="9"/>
    <x v="4"/>
    <x v="0"/>
  </r>
  <r>
    <x v="23"/>
    <n v="377.55950000000001"/>
    <x v="9"/>
    <x v="4"/>
    <x v="0"/>
  </r>
  <r>
    <x v="24"/>
    <n v="363.03789999999998"/>
    <x v="9"/>
    <x v="4"/>
    <x v="0"/>
  </r>
  <r>
    <x v="25"/>
    <n v="346.08"/>
    <x v="9"/>
    <x v="4"/>
    <x v="0"/>
  </r>
  <r>
    <x v="30"/>
    <n v="336"/>
    <x v="9"/>
    <x v="4"/>
    <x v="0"/>
  </r>
  <r>
    <x v="0"/>
    <n v="1069.8607999999999"/>
    <x v="10"/>
    <x v="5"/>
    <x v="0"/>
  </r>
  <r>
    <x v="1"/>
    <n v="999.86990000000003"/>
    <x v="10"/>
    <x v="5"/>
    <x v="0"/>
  </r>
  <r>
    <x v="2"/>
    <n v="956.81330000000003"/>
    <x v="10"/>
    <x v="5"/>
    <x v="0"/>
  </r>
  <r>
    <x v="3"/>
    <n v="915.61080000000004"/>
    <x v="10"/>
    <x v="5"/>
    <x v="0"/>
  </r>
  <r>
    <x v="4"/>
    <n v="863.78380000000004"/>
    <x v="10"/>
    <x v="5"/>
    <x v="0"/>
  </r>
  <r>
    <x v="5"/>
    <n v="834.57380000000001"/>
    <x v="10"/>
    <x v="5"/>
    <x v="0"/>
  </r>
  <r>
    <x v="6"/>
    <n v="794.83209999999997"/>
    <x v="10"/>
    <x v="5"/>
    <x v="0"/>
  </r>
  <r>
    <x v="7"/>
    <n v="729.2038"/>
    <x v="10"/>
    <x v="5"/>
    <x v="0"/>
  </r>
  <r>
    <x v="8"/>
    <n v="716.66219999999998"/>
    <x v="10"/>
    <x v="5"/>
    <x v="0"/>
  </r>
  <r>
    <x v="9"/>
    <n v="663.57619999999997"/>
    <x v="10"/>
    <x v="5"/>
    <x v="0"/>
  </r>
  <r>
    <x v="10"/>
    <n v="644.24869999999999"/>
    <x v="10"/>
    <x v="5"/>
    <x v="0"/>
  </r>
  <r>
    <x v="11"/>
    <n v="603.22910000000002"/>
    <x v="10"/>
    <x v="5"/>
    <x v="0"/>
  </r>
  <r>
    <x v="12"/>
    <n v="580.02790000000005"/>
    <x v="10"/>
    <x v="5"/>
    <x v="0"/>
  </r>
  <r>
    <x v="13"/>
    <n v="563.13390000000004"/>
    <x v="10"/>
    <x v="5"/>
    <x v="0"/>
  </r>
  <r>
    <x v="14"/>
    <n v="546.73199999999997"/>
    <x v="10"/>
    <x v="5"/>
    <x v="0"/>
  </r>
  <r>
    <x v="15"/>
    <n v="523.51120000000003"/>
    <x v="10"/>
    <x v="5"/>
    <x v="0"/>
  </r>
  <r>
    <x v="16"/>
    <n v="503.37610000000001"/>
    <x v="10"/>
    <x v="5"/>
    <x v="0"/>
  </r>
  <r>
    <x v="17"/>
    <n v="488.71460000000002"/>
    <x v="10"/>
    <x v="5"/>
    <x v="0"/>
  </r>
  <r>
    <x v="18"/>
    <n v="474.48020000000002"/>
    <x v="10"/>
    <x v="5"/>
    <x v="0"/>
  </r>
  <r>
    <x v="19"/>
    <n v="447.62290000000002"/>
    <x v="10"/>
    <x v="5"/>
    <x v="0"/>
  </r>
  <r>
    <x v="20"/>
    <n v="422.28579999999999"/>
    <x v="10"/>
    <x v="5"/>
    <x v="0"/>
  </r>
  <r>
    <x v="21"/>
    <n v="406.04680000000002"/>
    <x v="10"/>
    <x v="5"/>
    <x v="0"/>
  </r>
  <r>
    <x v="22"/>
    <n v="372.8621"/>
    <x v="10"/>
    <x v="5"/>
    <x v="0"/>
  </r>
  <r>
    <x v="23"/>
    <n v="339.15050000000002"/>
    <x v="10"/>
    <x v="5"/>
    <x v="0"/>
  </r>
  <r>
    <x v="24"/>
    <n v="326.1062"/>
    <x v="10"/>
    <x v="5"/>
    <x v="0"/>
  </r>
  <r>
    <x v="25"/>
    <n v="296.73"/>
    <x v="10"/>
    <x v="5"/>
    <x v="0"/>
  </r>
  <r>
    <x v="26"/>
    <n v="270"/>
    <x v="10"/>
    <x v="5"/>
    <x v="0"/>
  </r>
  <r>
    <x v="0"/>
    <n v="1069.8599999999999"/>
    <x v="11"/>
    <x v="5"/>
    <x v="1"/>
  </r>
  <r>
    <x v="1"/>
    <n v="999.86928999999998"/>
    <x v="11"/>
    <x v="5"/>
    <x v="1"/>
  </r>
  <r>
    <x v="2"/>
    <n v="956.81286"/>
    <x v="11"/>
    <x v="5"/>
    <x v="1"/>
  </r>
  <r>
    <x v="3"/>
    <n v="915.61036000000001"/>
    <x v="11"/>
    <x v="5"/>
    <x v="1"/>
  </r>
  <r>
    <x v="4"/>
    <n v="863.78321000000005"/>
    <x v="11"/>
    <x v="5"/>
    <x v="1"/>
  </r>
  <r>
    <x v="5"/>
    <n v="834.57285999999999"/>
    <x v="11"/>
    <x v="5"/>
    <x v="1"/>
  </r>
  <r>
    <x v="6"/>
    <n v="794.83178999999996"/>
    <x v="11"/>
    <x v="5"/>
    <x v="1"/>
  </r>
  <r>
    <x v="7"/>
    <n v="729.20321000000001"/>
    <x v="11"/>
    <x v="5"/>
    <x v="1"/>
  </r>
  <r>
    <x v="8"/>
    <n v="716.66143"/>
    <x v="11"/>
    <x v="5"/>
    <x v="1"/>
  </r>
  <r>
    <x v="9"/>
    <n v="663.57570999999996"/>
    <x v="11"/>
    <x v="5"/>
    <x v="1"/>
  </r>
  <r>
    <x v="10"/>
    <n v="644.24820999999997"/>
    <x v="11"/>
    <x v="5"/>
    <x v="1"/>
  </r>
  <r>
    <x v="11"/>
    <n v="603.22892999999999"/>
    <x v="11"/>
    <x v="5"/>
    <x v="1"/>
  </r>
  <r>
    <x v="12"/>
    <n v="580.02786000000003"/>
    <x v="11"/>
    <x v="5"/>
    <x v="1"/>
  </r>
  <r>
    <x v="13"/>
    <n v="563.13392999999996"/>
    <x v="11"/>
    <x v="5"/>
    <x v="1"/>
  </r>
  <r>
    <x v="14"/>
    <n v="546.73213999999996"/>
    <x v="11"/>
    <x v="5"/>
    <x v="1"/>
  </r>
  <r>
    <x v="15"/>
    <n v="523.51107000000002"/>
    <x v="11"/>
    <x v="5"/>
    <x v="1"/>
  </r>
  <r>
    <x v="16"/>
    <n v="503.37607000000003"/>
    <x v="11"/>
    <x v="5"/>
    <x v="1"/>
  </r>
  <r>
    <x v="17"/>
    <n v="488.71463999999997"/>
    <x v="11"/>
    <x v="5"/>
    <x v="1"/>
  </r>
  <r>
    <x v="18"/>
    <n v="474.48"/>
    <x v="11"/>
    <x v="5"/>
    <x v="1"/>
  </r>
  <r>
    <x v="19"/>
    <n v="447.62286"/>
    <x v="11"/>
    <x v="5"/>
    <x v="1"/>
  </r>
  <r>
    <x v="20"/>
    <n v="422.28570999999999"/>
    <x v="11"/>
    <x v="5"/>
    <x v="1"/>
  </r>
  <r>
    <x v="21"/>
    <n v="406.04928999999998"/>
    <x v="11"/>
    <x v="5"/>
    <x v="1"/>
  </r>
  <r>
    <x v="22"/>
    <n v="372.86820999999998"/>
    <x v="11"/>
    <x v="5"/>
    <x v="1"/>
  </r>
  <r>
    <x v="27"/>
    <n v="339.15607"/>
    <x v="1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675BF-3C4D-5941-B42C-BD122F9589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6" firstHeaderRow="1" firstDataRow="2" firstDataCol="1"/>
  <pivotFields count="8">
    <pivotField axis="axisRow" numFmtId="14" showAll="0">
      <items count="32">
        <item x="26"/>
        <item x="30"/>
        <item x="25"/>
        <item x="24"/>
        <item x="23"/>
        <item x="27"/>
        <item x="22"/>
        <item x="21"/>
        <item x="20"/>
        <item x="19"/>
        <item x="29"/>
        <item x="18"/>
        <item x="17"/>
        <item x="28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axis="axisCol" showAll="0">
      <items count="13">
        <item x="4"/>
        <item x="5"/>
        <item x="0"/>
        <item x="1"/>
        <item x="10"/>
        <item x="11"/>
        <item x="9"/>
        <item x="8"/>
        <item x="3"/>
        <item x="2"/>
        <item x="6"/>
        <item x="7"/>
        <item t="default"/>
      </items>
    </pivotField>
    <pivotField showAll="0" defaultSubtotal="0">
      <items count="6">
        <item x="5"/>
        <item x="4"/>
        <item x="2"/>
        <item x="1"/>
        <item x="3"/>
        <item x="0"/>
      </items>
    </pivotField>
    <pivotField showAll="0">
      <items count="4">
        <item x="0"/>
        <item x="2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Unit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/>
  </sheetViews>
  <sheetFormatPr baseColWidth="10" defaultColWidth="8.83203125" defaultRowHeight="13" x14ac:dyDescent="0.15"/>
  <cols>
    <col min="1" max="1" width="24.83203125" customWidth="1"/>
    <col min="2" max="3" width="9.83203125" customWidth="1"/>
    <col min="4" max="4" width="4.83203125" customWidth="1"/>
    <col min="5" max="5" width="5.83203125" customWidth="1"/>
    <col min="6" max="6" width="3.6640625" customWidth="1"/>
    <col min="7" max="7" width="5.6640625" customWidth="1"/>
    <col min="8" max="8" width="16.83203125" customWidth="1"/>
    <col min="9" max="9" width="22.83203125" customWidth="1"/>
    <col min="10" max="10" width="9.83203125" customWidth="1"/>
    <col min="11" max="11" width="16.83203125" customWidth="1"/>
    <col min="12" max="12" width="14.6640625" customWidth="1"/>
  </cols>
  <sheetData>
    <row r="1" spans="1:12" x14ac:dyDescent="0.15">
      <c r="A1" t="s">
        <v>0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</row>
    <row r="2" spans="1:12" x14ac:dyDescent="0.15">
      <c r="A2" t="s">
        <v>36</v>
      </c>
      <c r="B2" t="s">
        <v>89</v>
      </c>
      <c r="C2" t="s">
        <v>40</v>
      </c>
      <c r="D2" t="s">
        <v>90</v>
      </c>
      <c r="E2" t="s">
        <v>91</v>
      </c>
      <c r="F2" t="s">
        <v>92</v>
      </c>
      <c r="G2" t="s">
        <v>93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1"/>
  <sheetViews>
    <sheetView topLeftCell="AA21" workbookViewId="0">
      <selection activeCell="AF34" sqref="AF34:AG60"/>
    </sheetView>
  </sheetViews>
  <sheetFormatPr baseColWidth="10" defaultColWidth="8.83203125" defaultRowHeight="13" x14ac:dyDescent="0.15"/>
  <cols>
    <col min="2" max="2" width="24.83203125" customWidth="1"/>
    <col min="3" max="3" width="12.6640625" customWidth="1"/>
    <col min="4" max="4" width="11.83203125" customWidth="1"/>
    <col min="5" max="5" width="18.83203125" customWidth="1"/>
    <col min="6" max="6" width="16.83203125" customWidth="1"/>
    <col min="7" max="7" width="17.83203125" customWidth="1"/>
    <col min="8" max="8" width="7.83203125" customWidth="1"/>
    <col min="9" max="9" width="10.83203125" customWidth="1"/>
    <col min="10" max="10" width="16.83203125" customWidth="1"/>
    <col min="11" max="11" width="9.83203125" customWidth="1"/>
    <col min="12" max="12" width="10.6640625" customWidth="1"/>
    <col min="13" max="13" width="4.6640625" customWidth="1"/>
    <col min="14" max="14" width="8.83203125" customWidth="1"/>
    <col min="15" max="15" width="5.83203125" customWidth="1"/>
    <col min="16" max="16" width="12.6640625" customWidth="1"/>
    <col min="17" max="17" width="9.83203125" customWidth="1"/>
    <col min="18" max="18" width="18" customWidth="1"/>
    <col min="19" max="19" width="19" customWidth="1"/>
    <col min="20" max="20" width="7.83203125" customWidth="1"/>
    <col min="21" max="21" width="22.83203125" customWidth="1"/>
    <col min="22" max="22" width="17.83203125" customWidth="1"/>
    <col min="23" max="23" width="14.83203125" customWidth="1"/>
    <col min="24" max="24" width="18.83203125" customWidth="1"/>
    <col min="25" max="25" width="7.83203125" customWidth="1"/>
    <col min="26" max="26" width="22.83203125" customWidth="1"/>
    <col min="27" max="27" width="18.83203125" customWidth="1"/>
    <col min="28" max="28" width="19.83203125" customWidth="1"/>
    <col min="29" max="29" width="8.83203125" customWidth="1"/>
    <col min="30" max="30" width="23.83203125" customWidth="1"/>
    <col min="31" max="31" width="17.83203125" customWidth="1"/>
    <col min="32" max="32" width="18.83203125" customWidth="1"/>
    <col min="33" max="33" width="7.83203125" customWidth="1"/>
    <col min="34" max="34" width="22.83203125" customWidth="1"/>
    <col min="35" max="35" width="9.83203125" customWidth="1"/>
    <col min="36" max="36" width="20.83203125" customWidth="1"/>
    <col min="37" max="37" width="17.83203125" customWidth="1"/>
    <col min="41" max="41" width="9.83203125" bestFit="1" customWidth="1"/>
    <col min="46" max="46" width="9.83203125" bestFit="1" customWidth="1"/>
  </cols>
  <sheetData>
    <row r="1" spans="1:37" x14ac:dyDescent="0.15">
      <c r="A1" s="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15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39</v>
      </c>
      <c r="J2" t="s">
        <v>40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39</v>
      </c>
      <c r="R2" t="s">
        <v>48</v>
      </c>
      <c r="S2" t="s">
        <v>49</v>
      </c>
      <c r="V2" t="s">
        <v>50</v>
      </c>
      <c r="W2" t="s">
        <v>51</v>
      </c>
      <c r="X2" t="s">
        <v>49</v>
      </c>
      <c r="AA2" t="s">
        <v>40</v>
      </c>
      <c r="AB2" t="s">
        <v>40</v>
      </c>
      <c r="AE2" t="s">
        <v>40</v>
      </c>
      <c r="AF2" t="s">
        <v>40</v>
      </c>
      <c r="AI2" t="s">
        <v>52</v>
      </c>
      <c r="AJ2" t="s">
        <v>40</v>
      </c>
      <c r="AK2" t="s">
        <v>40</v>
      </c>
    </row>
    <row r="3" spans="1:37" x14ac:dyDescent="0.15">
      <c r="A3">
        <f>A2+1</f>
        <v>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39</v>
      </c>
      <c r="J3" t="s">
        <v>40</v>
      </c>
      <c r="K3" t="s">
        <v>42</v>
      </c>
      <c r="L3" t="s">
        <v>53</v>
      </c>
      <c r="M3" t="s">
        <v>44</v>
      </c>
      <c r="N3" t="s">
        <v>45</v>
      </c>
      <c r="O3" t="s">
        <v>46</v>
      </c>
      <c r="P3" t="s">
        <v>54</v>
      </c>
      <c r="Q3" t="s">
        <v>39</v>
      </c>
      <c r="R3" t="s">
        <v>55</v>
      </c>
      <c r="S3" t="s">
        <v>49</v>
      </c>
      <c r="V3" t="s">
        <v>56</v>
      </c>
      <c r="W3" t="s">
        <v>57</v>
      </c>
      <c r="X3" t="s">
        <v>49</v>
      </c>
      <c r="AA3" t="s">
        <v>40</v>
      </c>
      <c r="AB3" t="s">
        <v>40</v>
      </c>
      <c r="AE3" t="s">
        <v>40</v>
      </c>
      <c r="AF3" t="s">
        <v>40</v>
      </c>
      <c r="AI3" t="s">
        <v>52</v>
      </c>
      <c r="AJ3" t="s">
        <v>40</v>
      </c>
      <c r="AK3" t="s">
        <v>40</v>
      </c>
    </row>
    <row r="4" spans="1:37" x14ac:dyDescent="0.15">
      <c r="A4">
        <f t="shared" ref="A4:A13" si="0">A3+1</f>
        <v>3</v>
      </c>
      <c r="B4" t="s">
        <v>36</v>
      </c>
      <c r="C4" t="s">
        <v>37</v>
      </c>
      <c r="D4" t="s">
        <v>40</v>
      </c>
      <c r="E4" t="s">
        <v>39</v>
      </c>
      <c r="F4" t="s">
        <v>40</v>
      </c>
      <c r="G4" t="s">
        <v>41</v>
      </c>
      <c r="H4" t="s">
        <v>39</v>
      </c>
      <c r="I4" t="s">
        <v>39</v>
      </c>
      <c r="J4" t="s">
        <v>40</v>
      </c>
      <c r="K4" t="s">
        <v>42</v>
      </c>
      <c r="L4" t="s">
        <v>58</v>
      </c>
      <c r="M4" t="s">
        <v>44</v>
      </c>
      <c r="N4" t="s">
        <v>59</v>
      </c>
      <c r="O4" t="s">
        <v>46</v>
      </c>
      <c r="P4" t="s">
        <v>60</v>
      </c>
      <c r="Q4" t="s">
        <v>39</v>
      </c>
      <c r="R4" t="s">
        <v>61</v>
      </c>
      <c r="S4" t="s">
        <v>49</v>
      </c>
      <c r="V4" t="s">
        <v>62</v>
      </c>
      <c r="W4" t="s">
        <v>63</v>
      </c>
      <c r="X4" t="s">
        <v>49</v>
      </c>
      <c r="AA4" t="s">
        <v>40</v>
      </c>
      <c r="AB4" t="s">
        <v>40</v>
      </c>
      <c r="AE4" t="s">
        <v>40</v>
      </c>
      <c r="AF4" t="s">
        <v>40</v>
      </c>
      <c r="AI4" t="s">
        <v>52</v>
      </c>
      <c r="AJ4" t="s">
        <v>40</v>
      </c>
      <c r="AK4" t="s">
        <v>40</v>
      </c>
    </row>
    <row r="5" spans="1:37" x14ac:dyDescent="0.15">
      <c r="A5">
        <f t="shared" si="0"/>
        <v>4</v>
      </c>
      <c r="B5" t="s">
        <v>36</v>
      </c>
      <c r="C5" t="s">
        <v>37</v>
      </c>
      <c r="D5" t="s">
        <v>40</v>
      </c>
      <c r="E5" t="s">
        <v>39</v>
      </c>
      <c r="F5" t="s">
        <v>40</v>
      </c>
      <c r="G5" t="s">
        <v>41</v>
      </c>
      <c r="H5" t="s">
        <v>39</v>
      </c>
      <c r="I5" t="s">
        <v>39</v>
      </c>
      <c r="J5" t="s">
        <v>40</v>
      </c>
      <c r="K5" t="s">
        <v>42</v>
      </c>
      <c r="L5" t="s">
        <v>64</v>
      </c>
      <c r="M5" t="s">
        <v>44</v>
      </c>
      <c r="N5" t="s">
        <v>59</v>
      </c>
      <c r="O5" t="s">
        <v>46</v>
      </c>
      <c r="P5" t="s">
        <v>47</v>
      </c>
      <c r="Q5" t="s">
        <v>39</v>
      </c>
      <c r="R5" t="s">
        <v>48</v>
      </c>
      <c r="S5" t="s">
        <v>49</v>
      </c>
      <c r="V5" t="s">
        <v>50</v>
      </c>
      <c r="W5" t="s">
        <v>51</v>
      </c>
      <c r="X5" t="s">
        <v>49</v>
      </c>
      <c r="AA5" t="s">
        <v>40</v>
      </c>
      <c r="AB5" t="s">
        <v>40</v>
      </c>
      <c r="AE5" t="s">
        <v>40</v>
      </c>
      <c r="AF5" t="s">
        <v>40</v>
      </c>
      <c r="AI5" t="s">
        <v>52</v>
      </c>
      <c r="AJ5" t="s">
        <v>40</v>
      </c>
      <c r="AK5" t="s">
        <v>40</v>
      </c>
    </row>
    <row r="6" spans="1:37" x14ac:dyDescent="0.15">
      <c r="A6">
        <f t="shared" si="0"/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39</v>
      </c>
      <c r="J6" t="s">
        <v>65</v>
      </c>
      <c r="K6" t="s">
        <v>42</v>
      </c>
      <c r="L6" t="s">
        <v>66</v>
      </c>
      <c r="M6" t="s">
        <v>44</v>
      </c>
      <c r="N6" t="s">
        <v>67</v>
      </c>
      <c r="O6" t="s">
        <v>46</v>
      </c>
      <c r="P6" t="s">
        <v>47</v>
      </c>
      <c r="Q6" t="s">
        <v>39</v>
      </c>
      <c r="R6" t="s">
        <v>48</v>
      </c>
      <c r="S6" t="s">
        <v>49</v>
      </c>
      <c r="V6" t="s">
        <v>50</v>
      </c>
      <c r="W6" t="s">
        <v>51</v>
      </c>
      <c r="X6" t="s">
        <v>49</v>
      </c>
      <c r="AA6" t="s">
        <v>40</v>
      </c>
      <c r="AB6" t="s">
        <v>40</v>
      </c>
      <c r="AE6" t="s">
        <v>40</v>
      </c>
      <c r="AF6" t="s">
        <v>40</v>
      </c>
      <c r="AI6" t="s">
        <v>52</v>
      </c>
      <c r="AJ6" t="s">
        <v>40</v>
      </c>
      <c r="AK6" t="s">
        <v>40</v>
      </c>
    </row>
    <row r="7" spans="1:37" x14ac:dyDescent="0.15">
      <c r="A7">
        <f t="shared" si="0"/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39</v>
      </c>
      <c r="J7" t="s">
        <v>65</v>
      </c>
      <c r="K7" t="s">
        <v>42</v>
      </c>
      <c r="L7" t="s">
        <v>68</v>
      </c>
      <c r="M7" t="s">
        <v>44</v>
      </c>
      <c r="N7" t="s">
        <v>67</v>
      </c>
      <c r="O7" t="s">
        <v>46</v>
      </c>
      <c r="P7" t="s">
        <v>54</v>
      </c>
      <c r="Q7" t="s">
        <v>39</v>
      </c>
      <c r="R7" t="s">
        <v>55</v>
      </c>
      <c r="S7" t="s">
        <v>49</v>
      </c>
      <c r="V7" t="s">
        <v>56</v>
      </c>
      <c r="W7" t="s">
        <v>57</v>
      </c>
      <c r="X7" t="s">
        <v>49</v>
      </c>
      <c r="AA7" t="s">
        <v>40</v>
      </c>
      <c r="AB7" t="s">
        <v>40</v>
      </c>
      <c r="AE7" t="s">
        <v>40</v>
      </c>
      <c r="AF7" t="s">
        <v>40</v>
      </c>
      <c r="AI7" t="s">
        <v>52</v>
      </c>
      <c r="AJ7" t="s">
        <v>40</v>
      </c>
      <c r="AK7" t="s">
        <v>40</v>
      </c>
    </row>
    <row r="8" spans="1:37" x14ac:dyDescent="0.15">
      <c r="A8">
        <f t="shared" si="0"/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39</v>
      </c>
      <c r="J8" t="s">
        <v>40</v>
      </c>
      <c r="K8" t="s">
        <v>42</v>
      </c>
      <c r="L8" s="1" t="s">
        <v>69</v>
      </c>
      <c r="M8" t="s">
        <v>44</v>
      </c>
      <c r="N8" t="s">
        <v>70</v>
      </c>
      <c r="O8" t="s">
        <v>46</v>
      </c>
      <c r="P8" t="s">
        <v>47</v>
      </c>
      <c r="Q8" t="s">
        <v>39</v>
      </c>
      <c r="R8" t="s">
        <v>48</v>
      </c>
      <c r="S8" t="s">
        <v>49</v>
      </c>
      <c r="V8" t="s">
        <v>50</v>
      </c>
      <c r="W8" t="s">
        <v>51</v>
      </c>
      <c r="X8" t="s">
        <v>49</v>
      </c>
      <c r="AA8" t="s">
        <v>40</v>
      </c>
      <c r="AB8" t="s">
        <v>40</v>
      </c>
      <c r="AE8" t="s">
        <v>40</v>
      </c>
      <c r="AF8" t="s">
        <v>40</v>
      </c>
      <c r="AI8" t="s">
        <v>52</v>
      </c>
      <c r="AJ8" t="s">
        <v>40</v>
      </c>
      <c r="AK8" t="s">
        <v>40</v>
      </c>
    </row>
    <row r="9" spans="1:37" x14ac:dyDescent="0.15">
      <c r="A9">
        <f t="shared" si="0"/>
        <v>8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39</v>
      </c>
      <c r="J9" t="s">
        <v>40</v>
      </c>
      <c r="K9" t="s">
        <v>42</v>
      </c>
      <c r="L9" t="s">
        <v>71</v>
      </c>
      <c r="M9" t="s">
        <v>44</v>
      </c>
      <c r="N9" t="s">
        <v>70</v>
      </c>
      <c r="O9" t="s">
        <v>46</v>
      </c>
      <c r="P9" t="s">
        <v>60</v>
      </c>
      <c r="Q9" t="s">
        <v>39</v>
      </c>
      <c r="R9" t="s">
        <v>61</v>
      </c>
      <c r="S9" t="s">
        <v>49</v>
      </c>
      <c r="V9" t="s">
        <v>62</v>
      </c>
      <c r="W9" t="s">
        <v>63</v>
      </c>
      <c r="X9" t="s">
        <v>49</v>
      </c>
      <c r="AA9" t="s">
        <v>40</v>
      </c>
      <c r="AB9" t="s">
        <v>40</v>
      </c>
      <c r="AE9" t="s">
        <v>40</v>
      </c>
      <c r="AF9" t="s">
        <v>40</v>
      </c>
      <c r="AI9" t="s">
        <v>52</v>
      </c>
      <c r="AJ9" t="s">
        <v>40</v>
      </c>
      <c r="AK9" t="s">
        <v>40</v>
      </c>
    </row>
    <row r="10" spans="1:37" x14ac:dyDescent="0.15">
      <c r="A10">
        <f t="shared" si="0"/>
        <v>9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39</v>
      </c>
      <c r="J10" t="s">
        <v>40</v>
      </c>
      <c r="K10" t="s">
        <v>42</v>
      </c>
      <c r="L10" t="s">
        <v>72</v>
      </c>
      <c r="M10" t="s">
        <v>44</v>
      </c>
      <c r="N10" t="s">
        <v>73</v>
      </c>
      <c r="O10" t="s">
        <v>46</v>
      </c>
      <c r="P10" t="s">
        <v>60</v>
      </c>
      <c r="Q10" t="s">
        <v>39</v>
      </c>
      <c r="R10" t="s">
        <v>61</v>
      </c>
      <c r="S10" t="s">
        <v>49</v>
      </c>
      <c r="V10" t="s">
        <v>62</v>
      </c>
      <c r="W10" t="s">
        <v>63</v>
      </c>
      <c r="X10" t="s">
        <v>49</v>
      </c>
      <c r="AA10" t="s">
        <v>40</v>
      </c>
      <c r="AB10" t="s">
        <v>40</v>
      </c>
      <c r="AE10" t="s">
        <v>40</v>
      </c>
      <c r="AF10" t="s">
        <v>40</v>
      </c>
      <c r="AI10" t="s">
        <v>52</v>
      </c>
      <c r="AJ10" t="s">
        <v>40</v>
      </c>
      <c r="AK10" t="s">
        <v>40</v>
      </c>
    </row>
    <row r="11" spans="1:37" x14ac:dyDescent="0.15">
      <c r="A11">
        <f t="shared" si="0"/>
        <v>10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39</v>
      </c>
      <c r="J11" t="s">
        <v>40</v>
      </c>
      <c r="K11" t="s">
        <v>42</v>
      </c>
      <c r="L11" t="s">
        <v>74</v>
      </c>
      <c r="M11" t="s">
        <v>44</v>
      </c>
      <c r="N11" t="s">
        <v>73</v>
      </c>
      <c r="O11" t="s">
        <v>46</v>
      </c>
      <c r="P11" t="s">
        <v>47</v>
      </c>
      <c r="Q11" t="s">
        <v>39</v>
      </c>
      <c r="R11" t="s">
        <v>48</v>
      </c>
      <c r="S11" t="s">
        <v>49</v>
      </c>
      <c r="V11" t="s">
        <v>50</v>
      </c>
      <c r="W11" t="s">
        <v>51</v>
      </c>
      <c r="X11" t="s">
        <v>49</v>
      </c>
      <c r="AA11" t="s">
        <v>40</v>
      </c>
      <c r="AB11" t="s">
        <v>40</v>
      </c>
      <c r="AE11" t="s">
        <v>40</v>
      </c>
      <c r="AF11" t="s">
        <v>40</v>
      </c>
      <c r="AI11" t="s">
        <v>52</v>
      </c>
      <c r="AJ11" t="s">
        <v>40</v>
      </c>
      <c r="AK11" t="s">
        <v>40</v>
      </c>
    </row>
    <row r="12" spans="1:37" x14ac:dyDescent="0.15">
      <c r="A12">
        <f t="shared" si="0"/>
        <v>11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39</v>
      </c>
      <c r="J12" t="s">
        <v>40</v>
      </c>
      <c r="K12" t="s">
        <v>42</v>
      </c>
      <c r="L12" t="s">
        <v>75</v>
      </c>
      <c r="M12" t="s">
        <v>44</v>
      </c>
      <c r="N12" t="s">
        <v>76</v>
      </c>
      <c r="O12" t="s">
        <v>46</v>
      </c>
      <c r="P12" t="s">
        <v>47</v>
      </c>
      <c r="Q12" t="s">
        <v>39</v>
      </c>
      <c r="R12" t="s">
        <v>48</v>
      </c>
      <c r="S12" t="s">
        <v>49</v>
      </c>
      <c r="V12" t="s">
        <v>50</v>
      </c>
      <c r="W12" t="s">
        <v>51</v>
      </c>
      <c r="X12" t="s">
        <v>49</v>
      </c>
      <c r="AA12" t="s">
        <v>40</v>
      </c>
      <c r="AB12" t="s">
        <v>40</v>
      </c>
      <c r="AE12" t="s">
        <v>40</v>
      </c>
      <c r="AF12" t="s">
        <v>40</v>
      </c>
      <c r="AI12" t="s">
        <v>52</v>
      </c>
      <c r="AJ12" t="s">
        <v>40</v>
      </c>
      <c r="AK12" t="s">
        <v>40</v>
      </c>
    </row>
    <row r="13" spans="1:37" x14ac:dyDescent="0.15">
      <c r="A13">
        <f t="shared" si="0"/>
        <v>12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39</v>
      </c>
      <c r="J13" t="s">
        <v>40</v>
      </c>
      <c r="K13" t="s">
        <v>42</v>
      </c>
      <c r="L13" t="s">
        <v>77</v>
      </c>
      <c r="M13" t="s">
        <v>44</v>
      </c>
      <c r="N13" t="s">
        <v>76</v>
      </c>
      <c r="O13" t="s">
        <v>46</v>
      </c>
      <c r="P13" t="s">
        <v>54</v>
      </c>
      <c r="Q13" t="s">
        <v>39</v>
      </c>
      <c r="R13" t="s">
        <v>55</v>
      </c>
      <c r="S13" t="s">
        <v>49</v>
      </c>
      <c r="V13" t="s">
        <v>56</v>
      </c>
      <c r="W13" t="s">
        <v>57</v>
      </c>
      <c r="X13" t="s">
        <v>49</v>
      </c>
      <c r="AA13" t="s">
        <v>40</v>
      </c>
      <c r="AB13" t="s">
        <v>40</v>
      </c>
      <c r="AE13" t="s">
        <v>40</v>
      </c>
      <c r="AF13" t="s">
        <v>40</v>
      </c>
      <c r="AI13" t="s">
        <v>52</v>
      </c>
      <c r="AJ13" t="s">
        <v>40</v>
      </c>
      <c r="AK13" t="s">
        <v>40</v>
      </c>
    </row>
    <row r="15" spans="1:37" x14ac:dyDescent="0.15">
      <c r="A15" s="1" t="s">
        <v>94</v>
      </c>
    </row>
    <row r="16" spans="1:37" x14ac:dyDescent="0.15">
      <c r="A16" t="str">
        <f>A1</f>
        <v>Formulation Number (DL)</v>
      </c>
      <c r="B16" t="str">
        <f>C1</f>
        <v>Product Name</v>
      </c>
      <c r="C16" t="str">
        <f>L1</f>
        <v>Identifier</v>
      </c>
      <c r="D16" t="str">
        <f>N1</f>
        <v>Strength</v>
      </c>
      <c r="E16" t="str">
        <f>P1</f>
        <v>Package Size</v>
      </c>
      <c r="F16" t="str">
        <f>W1</f>
        <v>AWP Unit Price</v>
      </c>
    </row>
    <row r="17" spans="1:56" x14ac:dyDescent="0.15">
      <c r="A17">
        <f t="shared" ref="A17:A28" si="1">A2</f>
        <v>1</v>
      </c>
      <c r="B17" t="str">
        <f t="shared" ref="B17:B28" si="2">C2</f>
        <v>REVLIMID</v>
      </c>
      <c r="C17" t="str">
        <f t="shared" ref="C17:C28" si="3">L2</f>
        <v>59572-0405-00</v>
      </c>
      <c r="D17" t="str">
        <f t="shared" ref="D17:D28" si="4">N2</f>
        <v>5 mg</v>
      </c>
      <c r="E17" t="str">
        <f t="shared" ref="E17:E28" si="5">P2</f>
        <v>100s ea</v>
      </c>
      <c r="F17" t="str">
        <f t="shared" ref="F17:F28" si="6">W2</f>
        <v xml:space="preserve">      1069.86080</v>
      </c>
    </row>
    <row r="18" spans="1:56" x14ac:dyDescent="0.15">
      <c r="A18">
        <f t="shared" si="1"/>
        <v>2</v>
      </c>
      <c r="B18" t="str">
        <f t="shared" si="2"/>
        <v>REVLIMID</v>
      </c>
      <c r="C18" t="str">
        <f t="shared" si="3"/>
        <v>59572-0405-28</v>
      </c>
      <c r="D18" t="str">
        <f t="shared" si="4"/>
        <v>5 mg</v>
      </c>
      <c r="E18" t="str">
        <f t="shared" si="5"/>
        <v>28s ea</v>
      </c>
      <c r="F18" t="str">
        <f t="shared" si="6"/>
        <v xml:space="preserve">      1069.86000</v>
      </c>
    </row>
    <row r="19" spans="1:56" x14ac:dyDescent="0.15">
      <c r="A19">
        <f t="shared" si="1"/>
        <v>3</v>
      </c>
      <c r="B19" t="str">
        <f t="shared" si="2"/>
        <v>REVLIMID</v>
      </c>
      <c r="C19" t="str">
        <f t="shared" si="3"/>
        <v>59572-0420-21</v>
      </c>
      <c r="D19" t="str">
        <f t="shared" si="4"/>
        <v>20 mg</v>
      </c>
      <c r="E19" t="str">
        <f t="shared" si="5"/>
        <v>21s ea</v>
      </c>
      <c r="F19" t="str">
        <f t="shared" si="6"/>
        <v xml:space="preserve">      1069.86095</v>
      </c>
    </row>
    <row r="20" spans="1:56" x14ac:dyDescent="0.15">
      <c r="A20">
        <f t="shared" si="1"/>
        <v>4</v>
      </c>
      <c r="B20" t="str">
        <f t="shared" si="2"/>
        <v>REVLIMID</v>
      </c>
      <c r="C20" t="str">
        <f t="shared" si="3"/>
        <v>59572-0420-00</v>
      </c>
      <c r="D20" t="str">
        <f t="shared" si="4"/>
        <v>20 mg</v>
      </c>
      <c r="E20" t="str">
        <f t="shared" si="5"/>
        <v>100s ea</v>
      </c>
      <c r="F20" t="str">
        <f t="shared" si="6"/>
        <v xml:space="preserve">      1069.86080</v>
      </c>
    </row>
    <row r="21" spans="1:56" x14ac:dyDescent="0.15">
      <c r="A21">
        <f t="shared" si="1"/>
        <v>5</v>
      </c>
      <c r="B21" t="str">
        <f t="shared" si="2"/>
        <v>REVLIMID</v>
      </c>
      <c r="C21" t="str">
        <f t="shared" si="3"/>
        <v>59572-0402-00</v>
      </c>
      <c r="D21" t="str">
        <f t="shared" si="4"/>
        <v>2.5 mg</v>
      </c>
      <c r="E21" t="str">
        <f t="shared" si="5"/>
        <v>100s ea</v>
      </c>
      <c r="F21" t="str">
        <f t="shared" si="6"/>
        <v xml:space="preserve">      1069.86080</v>
      </c>
    </row>
    <row r="22" spans="1:56" x14ac:dyDescent="0.15">
      <c r="A22">
        <f t="shared" si="1"/>
        <v>6</v>
      </c>
      <c r="B22" t="str">
        <f t="shared" si="2"/>
        <v>REVLIMID</v>
      </c>
      <c r="C22" t="str">
        <f t="shared" si="3"/>
        <v>59572-0402-28</v>
      </c>
      <c r="D22" t="str">
        <f t="shared" si="4"/>
        <v>2.5 mg</v>
      </c>
      <c r="E22" t="str">
        <f t="shared" si="5"/>
        <v>28s ea</v>
      </c>
      <c r="F22" t="str">
        <f t="shared" si="6"/>
        <v xml:space="preserve">      1069.86000</v>
      </c>
    </row>
    <row r="23" spans="1:56" x14ac:dyDescent="0.15">
      <c r="A23">
        <f t="shared" si="1"/>
        <v>7</v>
      </c>
      <c r="B23" t="str">
        <f t="shared" si="2"/>
        <v>REVLIMID</v>
      </c>
      <c r="C23" t="str">
        <f t="shared" si="3"/>
        <v>59572-0425-00</v>
      </c>
      <c r="D23" t="str">
        <f t="shared" si="4"/>
        <v>25 mg</v>
      </c>
      <c r="E23" t="str">
        <f t="shared" si="5"/>
        <v>100s ea</v>
      </c>
      <c r="F23" t="str">
        <f t="shared" si="6"/>
        <v xml:space="preserve">      1069.86080</v>
      </c>
    </row>
    <row r="24" spans="1:56" x14ac:dyDescent="0.15">
      <c r="A24">
        <f t="shared" si="1"/>
        <v>8</v>
      </c>
      <c r="B24" t="str">
        <f t="shared" si="2"/>
        <v>REVLIMID</v>
      </c>
      <c r="C24" t="str">
        <f t="shared" si="3"/>
        <v>59572-0425-21</v>
      </c>
      <c r="D24" t="str">
        <f t="shared" si="4"/>
        <v>25 mg</v>
      </c>
      <c r="E24" t="str">
        <f t="shared" si="5"/>
        <v>21s ea</v>
      </c>
      <c r="F24" t="str">
        <f t="shared" si="6"/>
        <v xml:space="preserve">      1069.86095</v>
      </c>
    </row>
    <row r="25" spans="1:56" x14ac:dyDescent="0.15">
      <c r="A25">
        <f t="shared" si="1"/>
        <v>9</v>
      </c>
      <c r="B25" t="str">
        <f t="shared" si="2"/>
        <v>REVLIMID</v>
      </c>
      <c r="C25" t="str">
        <f t="shared" si="3"/>
        <v>59572-0415-21</v>
      </c>
      <c r="D25" t="str">
        <f t="shared" si="4"/>
        <v>15 mg</v>
      </c>
      <c r="E25" t="str">
        <f t="shared" si="5"/>
        <v>21s ea</v>
      </c>
      <c r="F25" t="str">
        <f t="shared" si="6"/>
        <v xml:space="preserve">      1069.86095</v>
      </c>
    </row>
    <row r="26" spans="1:56" x14ac:dyDescent="0.15">
      <c r="A26">
        <f>A11</f>
        <v>10</v>
      </c>
      <c r="B26" t="str">
        <f t="shared" si="2"/>
        <v>REVLIMID</v>
      </c>
      <c r="C26" t="str">
        <f t="shared" si="3"/>
        <v>59572-0415-00</v>
      </c>
      <c r="D26" t="str">
        <f t="shared" si="4"/>
        <v>15 mg</v>
      </c>
      <c r="E26" t="str">
        <f t="shared" si="5"/>
        <v>100s ea</v>
      </c>
      <c r="F26" t="str">
        <f t="shared" si="6"/>
        <v xml:space="preserve">      1069.86080</v>
      </c>
    </row>
    <row r="27" spans="1:56" x14ac:dyDescent="0.15">
      <c r="A27">
        <f t="shared" si="1"/>
        <v>11</v>
      </c>
      <c r="B27" t="str">
        <f t="shared" si="2"/>
        <v>REVLIMID</v>
      </c>
      <c r="C27" t="str">
        <f t="shared" si="3"/>
        <v>59572-0410-00</v>
      </c>
      <c r="D27" t="str">
        <f t="shared" si="4"/>
        <v>10 mg</v>
      </c>
      <c r="E27" t="str">
        <f t="shared" si="5"/>
        <v>100s ea</v>
      </c>
      <c r="F27" t="str">
        <f t="shared" si="6"/>
        <v xml:space="preserve">      1069.86080</v>
      </c>
    </row>
    <row r="28" spans="1:56" x14ac:dyDescent="0.15">
      <c r="A28">
        <f t="shared" si="1"/>
        <v>12</v>
      </c>
      <c r="B28" t="str">
        <f t="shared" si="2"/>
        <v>REVLIMID</v>
      </c>
      <c r="C28" t="str">
        <f t="shared" si="3"/>
        <v>59572-0410-28</v>
      </c>
      <c r="D28" t="str">
        <f t="shared" si="4"/>
        <v>10 mg</v>
      </c>
      <c r="E28" t="str">
        <f t="shared" si="5"/>
        <v>28s ea</v>
      </c>
      <c r="F28" t="str">
        <f t="shared" si="6"/>
        <v xml:space="preserve">      1069.86000</v>
      </c>
    </row>
    <row r="31" spans="1:56" ht="42" x14ac:dyDescent="0.15">
      <c r="A31">
        <v>1</v>
      </c>
      <c r="B31" s="2" t="s">
        <v>96</v>
      </c>
      <c r="F31">
        <v>2</v>
      </c>
      <c r="G31" s="2" t="s">
        <v>96</v>
      </c>
      <c r="K31">
        <v>3</v>
      </c>
      <c r="L31" s="2" t="s">
        <v>96</v>
      </c>
      <c r="P31">
        <v>4</v>
      </c>
      <c r="Q31" s="2" t="s">
        <v>96</v>
      </c>
      <c r="U31">
        <v>5</v>
      </c>
      <c r="V31" s="2" t="s">
        <v>96</v>
      </c>
      <c r="Z31">
        <v>6</v>
      </c>
      <c r="AA31" s="2" t="s">
        <v>96</v>
      </c>
      <c r="AE31">
        <v>7</v>
      </c>
      <c r="AF31" s="2" t="s">
        <v>96</v>
      </c>
      <c r="AI31">
        <v>8</v>
      </c>
      <c r="AJ31" s="2" t="s">
        <v>96</v>
      </c>
      <c r="AN31">
        <v>9</v>
      </c>
      <c r="AO31" s="2" t="s">
        <v>96</v>
      </c>
      <c r="AS31">
        <v>10</v>
      </c>
      <c r="AT31" s="2" t="s">
        <v>96</v>
      </c>
      <c r="AX31">
        <v>11</v>
      </c>
      <c r="AY31" s="2" t="s">
        <v>96</v>
      </c>
      <c r="BC31">
        <v>12</v>
      </c>
      <c r="BD31" s="2" t="s">
        <v>96</v>
      </c>
    </row>
    <row r="32" spans="1:56" ht="28" x14ac:dyDescent="0.15">
      <c r="B32" s="2" t="s">
        <v>97</v>
      </c>
      <c r="G32" s="2" t="s">
        <v>97</v>
      </c>
      <c r="L32" s="2" t="s">
        <v>97</v>
      </c>
      <c r="Q32" s="2" t="s">
        <v>97</v>
      </c>
      <c r="V32" s="2" t="s">
        <v>97</v>
      </c>
      <c r="AA32" s="2" t="s">
        <v>97</v>
      </c>
      <c r="AF32" s="2" t="s">
        <v>97</v>
      </c>
      <c r="AJ32" s="2" t="s">
        <v>97</v>
      </c>
      <c r="AO32" s="2" t="s">
        <v>97</v>
      </c>
      <c r="AT32" s="2" t="s">
        <v>97</v>
      </c>
      <c r="AY32" s="2" t="s">
        <v>97</v>
      </c>
      <c r="BD32" s="2" t="s">
        <v>97</v>
      </c>
    </row>
    <row r="33" spans="2:59" ht="42" x14ac:dyDescent="0.15">
      <c r="B33" s="2" t="s">
        <v>98</v>
      </c>
      <c r="G33" s="2" t="s">
        <v>102</v>
      </c>
      <c r="L33" s="2" t="s">
        <v>103</v>
      </c>
      <c r="Q33" s="2" t="s">
        <v>104</v>
      </c>
      <c r="V33" s="2" t="s">
        <v>105</v>
      </c>
      <c r="AA33" s="2" t="s">
        <v>106</v>
      </c>
      <c r="AF33" s="2" t="s">
        <v>107</v>
      </c>
      <c r="AJ33" s="2" t="s">
        <v>108</v>
      </c>
      <c r="AO33" s="2" t="s">
        <v>109</v>
      </c>
      <c r="AT33" s="2" t="s">
        <v>110</v>
      </c>
      <c r="AY33" s="2" t="s">
        <v>111</v>
      </c>
      <c r="BD33" s="2" t="s">
        <v>112</v>
      </c>
    </row>
    <row r="34" spans="2:59" ht="26" x14ac:dyDescent="0.15">
      <c r="B34" s="3" t="s">
        <v>99</v>
      </c>
      <c r="C34" s="3" t="s">
        <v>100</v>
      </c>
      <c r="D34" s="3" t="s">
        <v>101</v>
      </c>
      <c r="E34" s="3" t="s">
        <v>10</v>
      </c>
      <c r="G34" s="3" t="s">
        <v>99</v>
      </c>
      <c r="H34" s="3" t="s">
        <v>100</v>
      </c>
      <c r="I34" s="3" t="s">
        <v>101</v>
      </c>
      <c r="J34" t="str">
        <f>$E34</f>
        <v>Identifier</v>
      </c>
      <c r="L34" s="3" t="s">
        <v>99</v>
      </c>
      <c r="M34" s="3" t="s">
        <v>100</v>
      </c>
      <c r="N34" s="3" t="s">
        <v>101</v>
      </c>
      <c r="O34" t="str">
        <f>$E34</f>
        <v>Identifier</v>
      </c>
      <c r="Q34" s="3" t="s">
        <v>99</v>
      </c>
      <c r="R34" s="3" t="s">
        <v>100</v>
      </c>
      <c r="S34" s="3" t="s">
        <v>101</v>
      </c>
      <c r="T34" t="str">
        <f>$E34</f>
        <v>Identifier</v>
      </c>
      <c r="V34" s="3" t="s">
        <v>99</v>
      </c>
      <c r="W34" s="3" t="s">
        <v>100</v>
      </c>
      <c r="X34" s="3" t="s">
        <v>101</v>
      </c>
      <c r="Y34" t="str">
        <f>$E34</f>
        <v>Identifier</v>
      </c>
      <c r="AA34" s="3" t="s">
        <v>99</v>
      </c>
      <c r="AB34" s="3" t="s">
        <v>100</v>
      </c>
      <c r="AC34" s="3" t="s">
        <v>101</v>
      </c>
      <c r="AD34" t="str">
        <f>$E34</f>
        <v>Identifier</v>
      </c>
      <c r="AF34" s="3" t="s">
        <v>99</v>
      </c>
      <c r="AG34" s="3" t="s">
        <v>100</v>
      </c>
      <c r="AH34" s="3" t="s">
        <v>101</v>
      </c>
      <c r="AI34" t="str">
        <f>$E34</f>
        <v>Identifier</v>
      </c>
      <c r="AJ34" s="3" t="s">
        <v>99</v>
      </c>
      <c r="AK34" s="3" t="s">
        <v>100</v>
      </c>
      <c r="AL34" s="3" t="s">
        <v>101</v>
      </c>
      <c r="AM34" t="str">
        <f>$E34</f>
        <v>Identifier</v>
      </c>
      <c r="AO34" s="3" t="s">
        <v>99</v>
      </c>
      <c r="AP34" s="3" t="s">
        <v>100</v>
      </c>
      <c r="AQ34" s="3" t="s">
        <v>101</v>
      </c>
      <c r="AR34" t="str">
        <f>$E34</f>
        <v>Identifier</v>
      </c>
      <c r="AT34" s="3" t="s">
        <v>99</v>
      </c>
      <c r="AU34" s="3" t="s">
        <v>100</v>
      </c>
      <c r="AV34" s="3" t="s">
        <v>101</v>
      </c>
      <c r="AW34" t="str">
        <f>$E34</f>
        <v>Identifier</v>
      </c>
      <c r="AY34" s="3" t="s">
        <v>99</v>
      </c>
      <c r="AZ34" s="3" t="s">
        <v>100</v>
      </c>
      <c r="BA34" s="3" t="s">
        <v>101</v>
      </c>
      <c r="BB34" t="str">
        <f>$E34</f>
        <v>Identifier</v>
      </c>
      <c r="BD34" s="3" t="s">
        <v>99</v>
      </c>
      <c r="BE34" s="3" t="s">
        <v>100</v>
      </c>
      <c r="BF34" s="3" t="s">
        <v>101</v>
      </c>
      <c r="BG34" t="str">
        <f>$E34</f>
        <v>Identifier</v>
      </c>
    </row>
    <row r="35" spans="2:59" x14ac:dyDescent="0.15">
      <c r="B35" s="5">
        <v>45474</v>
      </c>
      <c r="C35" s="6">
        <v>1069.8607999999999</v>
      </c>
      <c r="D35" s="6">
        <v>7</v>
      </c>
      <c r="E35" t="str">
        <f>REPLACE(B$33, 1, 12, "")</f>
        <v>59572-0405-00</v>
      </c>
      <c r="G35" s="5">
        <v>45474</v>
      </c>
      <c r="H35" s="6">
        <v>1069.8599999999999</v>
      </c>
      <c r="I35" s="6">
        <v>7</v>
      </c>
      <c r="J35" t="str">
        <f>REPLACE(G$33, 1, 12, "")</f>
        <v>59572-0405-28</v>
      </c>
      <c r="L35" s="5">
        <v>45474</v>
      </c>
      <c r="M35" s="6">
        <v>1069.86095</v>
      </c>
      <c r="N35" s="6">
        <v>7</v>
      </c>
      <c r="O35" t="str">
        <f>REPLACE(L$33, 1, 12, "")</f>
        <v>59572-0420-21</v>
      </c>
      <c r="Q35" s="5">
        <v>45474</v>
      </c>
      <c r="R35" s="6">
        <v>1069.8607999999999</v>
      </c>
      <c r="S35" s="6">
        <v>7</v>
      </c>
      <c r="T35" t="str">
        <f>REPLACE(Q$33, 1, 12, "")</f>
        <v>59572-0420-00</v>
      </c>
      <c r="V35" s="5">
        <v>45474</v>
      </c>
      <c r="W35" s="6">
        <v>1069.8607999999999</v>
      </c>
      <c r="X35" s="6">
        <v>7</v>
      </c>
      <c r="Y35" t="str">
        <f>REPLACE(V$33, 1, 12, "")</f>
        <v>59572-0402-00</v>
      </c>
      <c r="AA35" s="5">
        <v>45474</v>
      </c>
      <c r="AB35" s="6">
        <v>1069.8599999999999</v>
      </c>
      <c r="AC35" s="6">
        <v>7</v>
      </c>
      <c r="AD35" t="str">
        <f>REPLACE(AA$33, 1, 12, "")</f>
        <v>59572-0402-28</v>
      </c>
      <c r="AF35" s="5">
        <v>45474</v>
      </c>
      <c r="AG35" s="6">
        <v>1069.8607999999999</v>
      </c>
      <c r="AH35" s="6">
        <v>7</v>
      </c>
      <c r="AI35" t="str">
        <f>REPLACE(AF$33, 1, 12, "")</f>
        <v>59572-0425-00</v>
      </c>
      <c r="AJ35" s="5">
        <v>45474</v>
      </c>
      <c r="AK35" s="6">
        <v>1069.86095</v>
      </c>
      <c r="AL35" s="6">
        <v>7</v>
      </c>
      <c r="AM35" t="str">
        <f>REPLACE(AJ$33, 1, 12, "")</f>
        <v>59572-0425-21</v>
      </c>
      <c r="AO35" s="5">
        <v>45474</v>
      </c>
      <c r="AP35" s="6">
        <v>1069.86095</v>
      </c>
      <c r="AQ35" s="6">
        <v>7</v>
      </c>
      <c r="AR35" t="str">
        <f>REPLACE(AO$33, 1, 12, "")</f>
        <v>59572-0415-21</v>
      </c>
      <c r="AT35" s="5">
        <v>45474</v>
      </c>
      <c r="AU35" s="6">
        <v>1069.8607999999999</v>
      </c>
      <c r="AV35" s="6">
        <v>7</v>
      </c>
      <c r="AW35" t="str">
        <f>REPLACE(AT$33, 1, 12, "")</f>
        <v>59572-0415-00</v>
      </c>
      <c r="AY35" s="5">
        <v>45474</v>
      </c>
      <c r="AZ35" s="6">
        <v>1069.8607999999999</v>
      </c>
      <c r="BA35" s="6">
        <v>7</v>
      </c>
      <c r="BB35" t="str">
        <f>REPLACE(AY$33, 1, 12, "")</f>
        <v>59572-0410-00</v>
      </c>
      <c r="BD35" s="5">
        <v>45474</v>
      </c>
      <c r="BE35" s="6">
        <v>1069.8599999999999</v>
      </c>
      <c r="BF35" s="6">
        <v>7</v>
      </c>
      <c r="BG35" t="str">
        <f>REPLACE(BD$33, 1, 12, "")</f>
        <v>59572-0410-28</v>
      </c>
    </row>
    <row r="36" spans="2:59" x14ac:dyDescent="0.15">
      <c r="B36" s="5">
        <v>44562</v>
      </c>
      <c r="C36" s="6">
        <v>999.86990000000003</v>
      </c>
      <c r="D36" s="6">
        <v>4.5</v>
      </c>
      <c r="E36" t="str">
        <f t="shared" ref="E36:E61" si="7">REPLACE(B$33, 1, 12, "")</f>
        <v>59572-0405-00</v>
      </c>
      <c r="G36" s="5">
        <v>44562</v>
      </c>
      <c r="H36" s="6">
        <v>999.86928999999998</v>
      </c>
      <c r="I36" s="6">
        <v>4.5</v>
      </c>
      <c r="J36" t="str">
        <f t="shared" ref="J36:J58" si="8">REPLACE(G$33, 1, 12, "")</f>
        <v>59572-0405-28</v>
      </c>
      <c r="L36" s="5">
        <v>44562</v>
      </c>
      <c r="M36" s="6">
        <v>999.87048000000004</v>
      </c>
      <c r="N36" s="6">
        <v>4.5</v>
      </c>
      <c r="O36" t="str">
        <f t="shared" ref="O36:O52" si="9">REPLACE(L$33, 1, 12, "")</f>
        <v>59572-0420-21</v>
      </c>
      <c r="Q36" s="5">
        <v>44562</v>
      </c>
      <c r="R36" s="6">
        <v>999.86990000000003</v>
      </c>
      <c r="S36" s="6">
        <v>4.5</v>
      </c>
      <c r="T36" t="str">
        <f t="shared" ref="T36:T52" si="10">REPLACE(Q$33, 1, 12, "")</f>
        <v>59572-0420-00</v>
      </c>
      <c r="V36" s="5">
        <v>44562</v>
      </c>
      <c r="W36" s="6">
        <v>999.86990000000003</v>
      </c>
      <c r="X36" s="6">
        <v>4.5</v>
      </c>
      <c r="Y36" t="str">
        <f t="shared" ref="Y36:Y54" si="11">REPLACE(V$33, 1, 12, "")</f>
        <v>59572-0402-00</v>
      </c>
      <c r="AA36" s="5">
        <v>44562</v>
      </c>
      <c r="AB36" s="6">
        <v>999.86928999999998</v>
      </c>
      <c r="AC36" s="6">
        <v>4.5</v>
      </c>
      <c r="AD36" t="str">
        <f t="shared" ref="AD36:AD54" si="12">REPLACE(AA$33, 1, 12, "")</f>
        <v>59572-0402-28</v>
      </c>
      <c r="AF36" s="5">
        <v>44562</v>
      </c>
      <c r="AG36" s="6">
        <v>999.86990000000003</v>
      </c>
      <c r="AH36" s="6">
        <v>4.5</v>
      </c>
      <c r="AI36" t="str">
        <f t="shared" ref="AI36:AI60" si="13">REPLACE(AF$33, 1, 12, "")</f>
        <v>59572-0425-00</v>
      </c>
      <c r="AJ36" s="5">
        <v>44562</v>
      </c>
      <c r="AK36" s="6">
        <v>999.87048000000004</v>
      </c>
      <c r="AL36" s="6">
        <v>4.5</v>
      </c>
      <c r="AM36" t="str">
        <f t="shared" ref="AM36:AM57" si="14">REPLACE(AJ$33, 1, 12, "")</f>
        <v>59572-0425-21</v>
      </c>
      <c r="AO36" s="5">
        <v>44562</v>
      </c>
      <c r="AP36" s="6">
        <v>999.87048000000004</v>
      </c>
      <c r="AQ36" s="6">
        <v>4.5</v>
      </c>
      <c r="AR36" t="str">
        <f t="shared" ref="AR36:AR61" si="15">REPLACE(AO$33, 1, 12, "")</f>
        <v>59572-0415-21</v>
      </c>
      <c r="AT36" s="5">
        <v>44562</v>
      </c>
      <c r="AU36" s="6">
        <v>999.86990000000003</v>
      </c>
      <c r="AV36" s="6">
        <v>4.5</v>
      </c>
      <c r="AW36" t="str">
        <f t="shared" ref="AW36:AW61" si="16">REPLACE(AT$33, 1, 12, "")</f>
        <v>59572-0415-00</v>
      </c>
      <c r="AY36" s="5">
        <v>44562</v>
      </c>
      <c r="AZ36" s="6">
        <v>999.86990000000003</v>
      </c>
      <c r="BA36" s="6">
        <v>4.5</v>
      </c>
      <c r="BB36" t="str">
        <f t="shared" ref="BB36:BB61" si="17">REPLACE(AY$33, 1, 12, "")</f>
        <v>59572-0410-00</v>
      </c>
      <c r="BD36" s="5">
        <v>44562</v>
      </c>
      <c r="BE36" s="6">
        <v>999.86928999999998</v>
      </c>
      <c r="BF36" s="6">
        <v>4.5</v>
      </c>
      <c r="BG36" t="str">
        <f t="shared" ref="BG36:BG58" si="18">REPLACE(BD$33, 1, 12, "")</f>
        <v>59572-0410-28</v>
      </c>
    </row>
    <row r="37" spans="2:59" x14ac:dyDescent="0.15">
      <c r="B37" s="5">
        <v>44197</v>
      </c>
      <c r="C37" s="6">
        <v>956.81330000000003</v>
      </c>
      <c r="D37" s="6">
        <v>4.5</v>
      </c>
      <c r="E37" t="str">
        <f t="shared" si="7"/>
        <v>59572-0405-00</v>
      </c>
      <c r="G37" s="5">
        <v>44197</v>
      </c>
      <c r="H37" s="6">
        <v>956.81286</v>
      </c>
      <c r="I37" s="6">
        <v>4.5</v>
      </c>
      <c r="J37" t="str">
        <f t="shared" si="8"/>
        <v>59572-0405-28</v>
      </c>
      <c r="L37" s="5">
        <v>44197</v>
      </c>
      <c r="M37" s="6">
        <v>956.81380999999999</v>
      </c>
      <c r="N37" s="6">
        <v>4.5</v>
      </c>
      <c r="O37" t="str">
        <f t="shared" si="9"/>
        <v>59572-0420-21</v>
      </c>
      <c r="Q37" s="5">
        <v>44197</v>
      </c>
      <c r="R37" s="6">
        <v>956.81330000000003</v>
      </c>
      <c r="S37" s="6">
        <v>4.5</v>
      </c>
      <c r="T37" t="str">
        <f t="shared" si="10"/>
        <v>59572-0420-00</v>
      </c>
      <c r="V37" s="5">
        <v>44197</v>
      </c>
      <c r="W37" s="6">
        <v>956.81330000000003</v>
      </c>
      <c r="X37" s="6">
        <v>4.5</v>
      </c>
      <c r="Y37" t="str">
        <f t="shared" si="11"/>
        <v>59572-0402-00</v>
      </c>
      <c r="AA37" s="5">
        <v>44197</v>
      </c>
      <c r="AB37" s="6">
        <v>956.81286</v>
      </c>
      <c r="AC37" s="6">
        <v>4.5</v>
      </c>
      <c r="AD37" t="str">
        <f t="shared" si="12"/>
        <v>59572-0402-28</v>
      </c>
      <c r="AF37" s="5">
        <v>44197</v>
      </c>
      <c r="AG37" s="6">
        <v>956.81330000000003</v>
      </c>
      <c r="AH37" s="6">
        <v>4.5</v>
      </c>
      <c r="AI37" t="str">
        <f t="shared" si="13"/>
        <v>59572-0425-00</v>
      </c>
      <c r="AJ37" s="5">
        <v>44197</v>
      </c>
      <c r="AK37" s="6">
        <v>956.81380999999999</v>
      </c>
      <c r="AL37" s="6">
        <v>4.5</v>
      </c>
      <c r="AM37" t="str">
        <f t="shared" si="14"/>
        <v>59572-0425-21</v>
      </c>
      <c r="AO37" s="5">
        <v>44197</v>
      </c>
      <c r="AP37" s="6">
        <v>956.81380999999999</v>
      </c>
      <c r="AQ37" s="6">
        <v>4.5</v>
      </c>
      <c r="AR37" t="str">
        <f t="shared" si="15"/>
        <v>59572-0415-21</v>
      </c>
      <c r="AT37" s="5">
        <v>44197</v>
      </c>
      <c r="AU37" s="6">
        <v>956.81330000000003</v>
      </c>
      <c r="AV37" s="6">
        <v>4.5</v>
      </c>
      <c r="AW37" t="str">
        <f t="shared" si="16"/>
        <v>59572-0415-00</v>
      </c>
      <c r="AY37" s="5">
        <v>44197</v>
      </c>
      <c r="AZ37" s="6">
        <v>956.81330000000003</v>
      </c>
      <c r="BA37" s="6">
        <v>4.5</v>
      </c>
      <c r="BB37" t="str">
        <f t="shared" si="17"/>
        <v>59572-0410-00</v>
      </c>
      <c r="BD37" s="5">
        <v>44197</v>
      </c>
      <c r="BE37" s="6">
        <v>956.81286</v>
      </c>
      <c r="BF37" s="6">
        <v>4.5</v>
      </c>
      <c r="BG37" t="str">
        <f t="shared" si="18"/>
        <v>59572-0410-28</v>
      </c>
    </row>
    <row r="38" spans="2:59" x14ac:dyDescent="0.15">
      <c r="B38" s="5">
        <v>43831</v>
      </c>
      <c r="C38" s="6">
        <v>915.61080000000004</v>
      </c>
      <c r="D38" s="6">
        <v>6</v>
      </c>
      <c r="E38" t="str">
        <f t="shared" si="7"/>
        <v>59572-0405-00</v>
      </c>
      <c r="G38" s="5">
        <v>43831</v>
      </c>
      <c r="H38" s="6">
        <v>915.61036000000001</v>
      </c>
      <c r="I38" s="6">
        <v>6</v>
      </c>
      <c r="J38" t="str">
        <f t="shared" si="8"/>
        <v>59572-0405-28</v>
      </c>
      <c r="L38" s="5">
        <v>43831</v>
      </c>
      <c r="M38" s="6">
        <v>915.61143000000004</v>
      </c>
      <c r="N38" s="6">
        <v>6</v>
      </c>
      <c r="O38" t="str">
        <f t="shared" si="9"/>
        <v>59572-0420-21</v>
      </c>
      <c r="Q38" s="5">
        <v>43831</v>
      </c>
      <c r="R38" s="6">
        <v>915.61080000000004</v>
      </c>
      <c r="S38" s="6">
        <v>6</v>
      </c>
      <c r="T38" t="str">
        <f t="shared" si="10"/>
        <v>59572-0420-00</v>
      </c>
      <c r="V38" s="5">
        <v>43831</v>
      </c>
      <c r="W38" s="6">
        <v>915.61080000000004</v>
      </c>
      <c r="X38" s="6">
        <v>6</v>
      </c>
      <c r="Y38" t="str">
        <f t="shared" si="11"/>
        <v>59572-0402-00</v>
      </c>
      <c r="AA38" s="5">
        <v>43831</v>
      </c>
      <c r="AB38" s="6">
        <v>915.61036000000001</v>
      </c>
      <c r="AC38" s="6">
        <v>6</v>
      </c>
      <c r="AD38" t="str">
        <f t="shared" si="12"/>
        <v>59572-0402-28</v>
      </c>
      <c r="AF38" s="5">
        <v>43831</v>
      </c>
      <c r="AG38" s="6">
        <v>915.61080000000004</v>
      </c>
      <c r="AH38" s="6">
        <v>6</v>
      </c>
      <c r="AI38" t="str">
        <f t="shared" si="13"/>
        <v>59572-0425-00</v>
      </c>
      <c r="AJ38" s="5">
        <v>43831</v>
      </c>
      <c r="AK38" s="6">
        <v>915.61143000000004</v>
      </c>
      <c r="AL38" s="6">
        <v>6</v>
      </c>
      <c r="AM38" t="str">
        <f t="shared" si="14"/>
        <v>59572-0425-21</v>
      </c>
      <c r="AO38" s="5">
        <v>43831</v>
      </c>
      <c r="AP38" s="6">
        <v>915.61143000000004</v>
      </c>
      <c r="AQ38" s="6">
        <v>6</v>
      </c>
      <c r="AR38" t="str">
        <f t="shared" si="15"/>
        <v>59572-0415-21</v>
      </c>
      <c r="AT38" s="5">
        <v>43831</v>
      </c>
      <c r="AU38" s="6">
        <v>915.61080000000004</v>
      </c>
      <c r="AV38" s="6">
        <v>6</v>
      </c>
      <c r="AW38" t="str">
        <f t="shared" si="16"/>
        <v>59572-0415-00</v>
      </c>
      <c r="AY38" s="5">
        <v>43831</v>
      </c>
      <c r="AZ38" s="6">
        <v>915.61080000000004</v>
      </c>
      <c r="BA38" s="6">
        <v>6</v>
      </c>
      <c r="BB38" t="str">
        <f t="shared" si="17"/>
        <v>59572-0410-00</v>
      </c>
      <c r="BD38" s="5">
        <v>43831</v>
      </c>
      <c r="BE38" s="6">
        <v>915.61036000000001</v>
      </c>
      <c r="BF38" s="6">
        <v>6</v>
      </c>
      <c r="BG38" t="str">
        <f t="shared" si="18"/>
        <v>59572-0410-28</v>
      </c>
    </row>
    <row r="39" spans="2:59" x14ac:dyDescent="0.15">
      <c r="B39" s="5">
        <v>43468</v>
      </c>
      <c r="C39" s="6">
        <v>863.78380000000004</v>
      </c>
      <c r="D39" s="6">
        <v>3.5</v>
      </c>
      <c r="E39" t="str">
        <f t="shared" si="7"/>
        <v>59572-0405-00</v>
      </c>
      <c r="G39" s="5">
        <v>43468</v>
      </c>
      <c r="H39" s="6">
        <v>863.78321000000005</v>
      </c>
      <c r="I39" s="6">
        <v>3.5</v>
      </c>
      <c r="J39" t="str">
        <f t="shared" si="8"/>
        <v>59572-0405-28</v>
      </c>
      <c r="L39" s="5">
        <v>43468</v>
      </c>
      <c r="M39" s="6">
        <v>863.78476000000001</v>
      </c>
      <c r="N39" s="6">
        <v>3.5</v>
      </c>
      <c r="O39" t="str">
        <f t="shared" si="9"/>
        <v>59572-0420-21</v>
      </c>
      <c r="Q39" s="5">
        <v>43468</v>
      </c>
      <c r="R39" s="6">
        <v>863.78380000000004</v>
      </c>
      <c r="S39" s="6">
        <v>3.5</v>
      </c>
      <c r="T39" t="str">
        <f t="shared" si="10"/>
        <v>59572-0420-00</v>
      </c>
      <c r="V39" s="5">
        <v>43468</v>
      </c>
      <c r="W39" s="6">
        <v>863.78380000000004</v>
      </c>
      <c r="X39" s="6">
        <v>3.5</v>
      </c>
      <c r="Y39" t="str">
        <f t="shared" si="11"/>
        <v>59572-0402-00</v>
      </c>
      <c r="AA39" s="5">
        <v>43468</v>
      </c>
      <c r="AB39" s="6">
        <v>863.78321000000005</v>
      </c>
      <c r="AC39" s="6">
        <v>3.5</v>
      </c>
      <c r="AD39" t="str">
        <f t="shared" si="12"/>
        <v>59572-0402-28</v>
      </c>
      <c r="AF39" s="5">
        <v>43468</v>
      </c>
      <c r="AG39" s="6">
        <v>863.78380000000004</v>
      </c>
      <c r="AH39" s="6">
        <v>3.5</v>
      </c>
      <c r="AI39" t="str">
        <f t="shared" si="13"/>
        <v>59572-0425-00</v>
      </c>
      <c r="AJ39" s="5">
        <v>43468</v>
      </c>
      <c r="AK39" s="6">
        <v>863.78476000000001</v>
      </c>
      <c r="AL39" s="6">
        <v>3.5</v>
      </c>
      <c r="AM39" t="str">
        <f t="shared" si="14"/>
        <v>59572-0425-21</v>
      </c>
      <c r="AO39" s="5">
        <v>43468</v>
      </c>
      <c r="AP39" s="6">
        <v>863.78476000000001</v>
      </c>
      <c r="AQ39" s="6">
        <v>3.5</v>
      </c>
      <c r="AR39" t="str">
        <f t="shared" si="15"/>
        <v>59572-0415-21</v>
      </c>
      <c r="AT39" s="5">
        <v>43468</v>
      </c>
      <c r="AU39" s="6">
        <v>863.78380000000004</v>
      </c>
      <c r="AV39" s="6">
        <v>3.5</v>
      </c>
      <c r="AW39" t="str">
        <f t="shared" si="16"/>
        <v>59572-0415-00</v>
      </c>
      <c r="AY39" s="5">
        <v>43468</v>
      </c>
      <c r="AZ39" s="6">
        <v>863.78380000000004</v>
      </c>
      <c r="BA39" s="6">
        <v>3.5</v>
      </c>
      <c r="BB39" t="str">
        <f t="shared" si="17"/>
        <v>59572-0410-00</v>
      </c>
      <c r="BD39" s="5">
        <v>43468</v>
      </c>
      <c r="BE39" s="6">
        <v>863.78321000000005</v>
      </c>
      <c r="BF39" s="6">
        <v>3.5</v>
      </c>
      <c r="BG39" t="str">
        <f t="shared" si="18"/>
        <v>59572-0410-28</v>
      </c>
    </row>
    <row r="40" spans="2:59" x14ac:dyDescent="0.15">
      <c r="B40" s="5">
        <v>43291</v>
      </c>
      <c r="C40" s="6">
        <v>834.57380000000001</v>
      </c>
      <c r="D40" s="6">
        <v>5</v>
      </c>
      <c r="E40" t="str">
        <f t="shared" si="7"/>
        <v>59572-0405-00</v>
      </c>
      <c r="G40" s="5">
        <v>43291</v>
      </c>
      <c r="H40" s="6">
        <v>834.57285999999999</v>
      </c>
      <c r="I40" s="6">
        <v>5</v>
      </c>
      <c r="J40" t="str">
        <f t="shared" si="8"/>
        <v>59572-0405-28</v>
      </c>
      <c r="L40" s="5">
        <v>43291</v>
      </c>
      <c r="M40" s="6">
        <v>834.57429000000002</v>
      </c>
      <c r="N40" s="6">
        <v>5</v>
      </c>
      <c r="O40" t="str">
        <f t="shared" si="9"/>
        <v>59572-0420-21</v>
      </c>
      <c r="Q40" s="5">
        <v>43291</v>
      </c>
      <c r="R40" s="6">
        <v>834.57380000000001</v>
      </c>
      <c r="S40" s="6">
        <v>5</v>
      </c>
      <c r="T40" t="str">
        <f t="shared" si="10"/>
        <v>59572-0420-00</v>
      </c>
      <c r="V40" s="5">
        <v>43291</v>
      </c>
      <c r="W40" s="6">
        <v>834.57380000000001</v>
      </c>
      <c r="X40" s="6">
        <v>5</v>
      </c>
      <c r="Y40" t="str">
        <f t="shared" si="11"/>
        <v>59572-0402-00</v>
      </c>
      <c r="AA40" s="5">
        <v>43291</v>
      </c>
      <c r="AB40" s="6">
        <v>834.57285999999999</v>
      </c>
      <c r="AC40" s="6">
        <v>5</v>
      </c>
      <c r="AD40" t="str">
        <f t="shared" si="12"/>
        <v>59572-0402-28</v>
      </c>
      <c r="AF40" s="5">
        <v>43291</v>
      </c>
      <c r="AG40" s="6">
        <v>834.57380000000001</v>
      </c>
      <c r="AH40" s="6">
        <v>5</v>
      </c>
      <c r="AI40" t="str">
        <f t="shared" si="13"/>
        <v>59572-0425-00</v>
      </c>
      <c r="AJ40" s="5">
        <v>43291</v>
      </c>
      <c r="AK40" s="6">
        <v>834.57429000000002</v>
      </c>
      <c r="AL40" s="6">
        <v>5</v>
      </c>
      <c r="AM40" t="str">
        <f t="shared" si="14"/>
        <v>59572-0425-21</v>
      </c>
      <c r="AO40" s="5">
        <v>43291</v>
      </c>
      <c r="AP40" s="6">
        <v>834.57429000000002</v>
      </c>
      <c r="AQ40" s="6">
        <v>5</v>
      </c>
      <c r="AR40" t="str">
        <f t="shared" si="15"/>
        <v>59572-0415-21</v>
      </c>
      <c r="AT40" s="5">
        <v>43291</v>
      </c>
      <c r="AU40" s="6">
        <v>834.57380000000001</v>
      </c>
      <c r="AV40" s="6">
        <v>5</v>
      </c>
      <c r="AW40" t="str">
        <f t="shared" si="16"/>
        <v>59572-0415-00</v>
      </c>
      <c r="AY40" s="5">
        <v>43291</v>
      </c>
      <c r="AZ40" s="6">
        <v>834.57380000000001</v>
      </c>
      <c r="BA40" s="6">
        <v>5</v>
      </c>
      <c r="BB40" t="str">
        <f t="shared" si="17"/>
        <v>59572-0410-00</v>
      </c>
      <c r="BD40" s="5">
        <v>43291</v>
      </c>
      <c r="BE40" s="6">
        <v>834.57285999999999</v>
      </c>
      <c r="BF40" s="6">
        <v>5</v>
      </c>
      <c r="BG40" t="str">
        <f t="shared" si="18"/>
        <v>59572-0410-28</v>
      </c>
    </row>
    <row r="41" spans="2:59" x14ac:dyDescent="0.15">
      <c r="B41" s="5">
        <v>43028</v>
      </c>
      <c r="C41" s="6">
        <v>794.83209999999997</v>
      </c>
      <c r="D41" s="6">
        <v>9</v>
      </c>
      <c r="E41" t="str">
        <f t="shared" si="7"/>
        <v>59572-0405-00</v>
      </c>
      <c r="G41" s="5">
        <v>43028</v>
      </c>
      <c r="H41" s="6">
        <v>794.83178999999996</v>
      </c>
      <c r="I41" s="6">
        <v>9</v>
      </c>
      <c r="J41" t="str">
        <f t="shared" si="8"/>
        <v>59572-0405-28</v>
      </c>
      <c r="L41" s="5">
        <v>43028</v>
      </c>
      <c r="M41" s="6">
        <v>794.83237999999994</v>
      </c>
      <c r="N41" s="6">
        <v>9</v>
      </c>
      <c r="O41" t="str">
        <f t="shared" si="9"/>
        <v>59572-0420-21</v>
      </c>
      <c r="Q41" s="5">
        <v>43028</v>
      </c>
      <c r="R41" s="6">
        <v>794.83209999999997</v>
      </c>
      <c r="S41" s="6">
        <v>9</v>
      </c>
      <c r="T41" t="str">
        <f t="shared" si="10"/>
        <v>59572-0420-00</v>
      </c>
      <c r="V41" s="5">
        <v>43028</v>
      </c>
      <c r="W41" s="6">
        <v>794.83209999999997</v>
      </c>
      <c r="X41" s="6">
        <v>9</v>
      </c>
      <c r="Y41" t="str">
        <f t="shared" si="11"/>
        <v>59572-0402-00</v>
      </c>
      <c r="AA41" s="5">
        <v>43028</v>
      </c>
      <c r="AB41" s="6">
        <v>794.83178999999996</v>
      </c>
      <c r="AC41" s="6">
        <v>9</v>
      </c>
      <c r="AD41" t="str">
        <f t="shared" si="12"/>
        <v>59572-0402-28</v>
      </c>
      <c r="AF41" s="5">
        <v>43028</v>
      </c>
      <c r="AG41" s="6">
        <v>794.83209999999997</v>
      </c>
      <c r="AH41" s="6">
        <v>9</v>
      </c>
      <c r="AI41" t="str">
        <f t="shared" si="13"/>
        <v>59572-0425-00</v>
      </c>
      <c r="AJ41" s="5">
        <v>43028</v>
      </c>
      <c r="AK41" s="6">
        <v>794.83237999999994</v>
      </c>
      <c r="AL41" s="6">
        <v>9</v>
      </c>
      <c r="AM41" t="str">
        <f t="shared" si="14"/>
        <v>59572-0425-21</v>
      </c>
      <c r="AO41" s="5">
        <v>43028</v>
      </c>
      <c r="AP41" s="6">
        <v>794.83237999999994</v>
      </c>
      <c r="AQ41" s="6">
        <v>9</v>
      </c>
      <c r="AR41" t="str">
        <f t="shared" si="15"/>
        <v>59572-0415-21</v>
      </c>
      <c r="AT41" s="5">
        <v>43028</v>
      </c>
      <c r="AU41" s="6">
        <v>794.83209999999997</v>
      </c>
      <c r="AV41" s="6">
        <v>9</v>
      </c>
      <c r="AW41" t="str">
        <f t="shared" si="16"/>
        <v>59572-0415-00</v>
      </c>
      <c r="AY41" s="5">
        <v>43028</v>
      </c>
      <c r="AZ41" s="6">
        <v>794.83209999999997</v>
      </c>
      <c r="BA41" s="6">
        <v>9</v>
      </c>
      <c r="BB41" t="str">
        <f t="shared" si="17"/>
        <v>59572-0410-00</v>
      </c>
      <c r="BD41" s="5">
        <v>43028</v>
      </c>
      <c r="BE41" s="6">
        <v>794.83178999999996</v>
      </c>
      <c r="BF41" s="6">
        <v>9</v>
      </c>
      <c r="BG41" t="str">
        <f t="shared" si="18"/>
        <v>59572-0410-28</v>
      </c>
    </row>
    <row r="42" spans="2:59" x14ac:dyDescent="0.15">
      <c r="B42" s="5">
        <v>42927</v>
      </c>
      <c r="C42" s="6">
        <v>729.2038</v>
      </c>
      <c r="D42" s="6">
        <v>1.8</v>
      </c>
      <c r="E42" t="str">
        <f t="shared" si="7"/>
        <v>59572-0405-00</v>
      </c>
      <c r="G42" s="5">
        <v>42927</v>
      </c>
      <c r="H42" s="6">
        <v>729.20321000000001</v>
      </c>
      <c r="I42" s="6">
        <v>1.8</v>
      </c>
      <c r="J42" t="str">
        <f t="shared" si="8"/>
        <v>59572-0405-28</v>
      </c>
      <c r="L42" s="5">
        <v>42927</v>
      </c>
      <c r="M42" s="6">
        <v>729.20380999999998</v>
      </c>
      <c r="N42" s="6">
        <v>1.7</v>
      </c>
      <c r="O42" t="str">
        <f t="shared" si="9"/>
        <v>59572-0420-21</v>
      </c>
      <c r="Q42" s="5">
        <v>42927</v>
      </c>
      <c r="R42" s="6">
        <v>729.2038</v>
      </c>
      <c r="S42" s="6">
        <v>1.8</v>
      </c>
      <c r="T42" t="str">
        <f t="shared" si="10"/>
        <v>59572-0420-00</v>
      </c>
      <c r="V42" s="5">
        <v>42927</v>
      </c>
      <c r="W42" s="6">
        <v>729.2038</v>
      </c>
      <c r="X42" s="6">
        <v>1.8</v>
      </c>
      <c r="Y42" t="str">
        <f t="shared" si="11"/>
        <v>59572-0402-00</v>
      </c>
      <c r="AA42" s="5">
        <v>42927</v>
      </c>
      <c r="AB42" s="6">
        <v>729.20321000000001</v>
      </c>
      <c r="AC42" s="6">
        <v>1.8</v>
      </c>
      <c r="AD42" t="str">
        <f t="shared" si="12"/>
        <v>59572-0402-28</v>
      </c>
      <c r="AF42" s="5">
        <v>42927</v>
      </c>
      <c r="AG42" s="6">
        <v>729.2038</v>
      </c>
      <c r="AH42" s="6">
        <v>1.8</v>
      </c>
      <c r="AI42" t="str">
        <f t="shared" si="13"/>
        <v>59572-0425-00</v>
      </c>
      <c r="AJ42" s="5">
        <v>42927</v>
      </c>
      <c r="AK42" s="6">
        <v>729.20380999999998</v>
      </c>
      <c r="AL42" s="6">
        <v>1.7</v>
      </c>
      <c r="AM42" t="str">
        <f t="shared" si="14"/>
        <v>59572-0425-21</v>
      </c>
      <c r="AO42" s="5">
        <v>42927</v>
      </c>
      <c r="AP42" s="6">
        <v>729.20380999999998</v>
      </c>
      <c r="AQ42" s="6">
        <v>1.7</v>
      </c>
      <c r="AR42" t="str">
        <f t="shared" si="15"/>
        <v>59572-0415-21</v>
      </c>
      <c r="AT42" s="5">
        <v>42927</v>
      </c>
      <c r="AU42" s="6">
        <v>729.2038</v>
      </c>
      <c r="AV42" s="6">
        <v>1.8</v>
      </c>
      <c r="AW42" t="str">
        <f t="shared" si="16"/>
        <v>59572-0415-00</v>
      </c>
      <c r="AY42" s="5">
        <v>42927</v>
      </c>
      <c r="AZ42" s="6">
        <v>729.2038</v>
      </c>
      <c r="BA42" s="6">
        <v>1.8</v>
      </c>
      <c r="BB42" t="str">
        <f t="shared" si="17"/>
        <v>59572-0410-00</v>
      </c>
      <c r="BD42" s="5">
        <v>42927</v>
      </c>
      <c r="BE42" s="6">
        <v>729.20321000000001</v>
      </c>
      <c r="BF42" s="6">
        <v>1.8</v>
      </c>
      <c r="BG42" t="str">
        <f t="shared" si="18"/>
        <v>59572-0410-28</v>
      </c>
    </row>
    <row r="43" spans="2:59" x14ac:dyDescent="0.15">
      <c r="B43" s="5">
        <v>42746</v>
      </c>
      <c r="C43" s="6">
        <v>716.66219999999998</v>
      </c>
      <c r="D43" s="6">
        <v>8</v>
      </c>
      <c r="E43" t="str">
        <f t="shared" si="7"/>
        <v>59572-0405-00</v>
      </c>
      <c r="G43" s="5">
        <v>42746</v>
      </c>
      <c r="H43" s="6">
        <v>716.66143</v>
      </c>
      <c r="I43" s="6">
        <v>8</v>
      </c>
      <c r="J43" t="str">
        <f t="shared" si="8"/>
        <v>59572-0405-28</v>
      </c>
      <c r="L43" s="5">
        <v>42746</v>
      </c>
      <c r="M43" s="6">
        <v>716.66237999999998</v>
      </c>
      <c r="N43" s="6">
        <v>8</v>
      </c>
      <c r="O43" t="str">
        <f t="shared" si="9"/>
        <v>59572-0420-21</v>
      </c>
      <c r="Q43" s="5">
        <v>42746</v>
      </c>
      <c r="R43" s="6">
        <v>716.66219999999998</v>
      </c>
      <c r="S43" s="6">
        <v>8</v>
      </c>
      <c r="T43" t="str">
        <f t="shared" si="10"/>
        <v>59572-0420-00</v>
      </c>
      <c r="V43" s="5">
        <v>42746</v>
      </c>
      <c r="W43" s="6">
        <v>716.66219999999998</v>
      </c>
      <c r="X43" s="6">
        <v>8</v>
      </c>
      <c r="Y43" t="str">
        <f t="shared" si="11"/>
        <v>59572-0402-00</v>
      </c>
      <c r="AA43" s="5">
        <v>42746</v>
      </c>
      <c r="AB43" s="6">
        <v>716.66143</v>
      </c>
      <c r="AC43" s="6">
        <v>8</v>
      </c>
      <c r="AD43" t="str">
        <f t="shared" si="12"/>
        <v>59572-0402-28</v>
      </c>
      <c r="AF43" s="5">
        <v>42746</v>
      </c>
      <c r="AG43" s="6">
        <v>716.66219999999998</v>
      </c>
      <c r="AH43" s="6">
        <v>8</v>
      </c>
      <c r="AI43" t="str">
        <f t="shared" si="13"/>
        <v>59572-0425-00</v>
      </c>
      <c r="AJ43" s="5">
        <v>42746</v>
      </c>
      <c r="AK43" s="6">
        <v>716.66237999999998</v>
      </c>
      <c r="AL43" s="6">
        <v>8</v>
      </c>
      <c r="AM43" t="str">
        <f t="shared" si="14"/>
        <v>59572-0425-21</v>
      </c>
      <c r="AO43" s="5">
        <v>42746</v>
      </c>
      <c r="AP43" s="6">
        <v>716.66237999999998</v>
      </c>
      <c r="AQ43" s="6">
        <v>8</v>
      </c>
      <c r="AR43" t="str">
        <f t="shared" si="15"/>
        <v>59572-0415-21</v>
      </c>
      <c r="AT43" s="5">
        <v>42746</v>
      </c>
      <c r="AU43" s="6">
        <v>716.66219999999998</v>
      </c>
      <c r="AV43" s="6">
        <v>8</v>
      </c>
      <c r="AW43" t="str">
        <f t="shared" si="16"/>
        <v>59572-0415-00</v>
      </c>
      <c r="AY43" s="5">
        <v>42746</v>
      </c>
      <c r="AZ43" s="6">
        <v>716.66219999999998</v>
      </c>
      <c r="BA43" s="6">
        <v>8</v>
      </c>
      <c r="BB43" t="str">
        <f t="shared" si="17"/>
        <v>59572-0410-00</v>
      </c>
      <c r="BD43" s="5">
        <v>42746</v>
      </c>
      <c r="BE43" s="6">
        <v>716.66143</v>
      </c>
      <c r="BF43" s="6">
        <v>8</v>
      </c>
      <c r="BG43" t="str">
        <f t="shared" si="18"/>
        <v>59572-0410-28</v>
      </c>
    </row>
    <row r="44" spans="2:59" x14ac:dyDescent="0.15">
      <c r="B44" s="5">
        <v>42602</v>
      </c>
      <c r="C44" s="6">
        <v>663.57619999999997</v>
      </c>
      <c r="D44" s="6">
        <v>3</v>
      </c>
      <c r="E44" t="str">
        <f t="shared" si="7"/>
        <v>59572-0405-00</v>
      </c>
      <c r="G44" s="5">
        <v>42602</v>
      </c>
      <c r="H44" s="6">
        <v>663.57570999999996</v>
      </c>
      <c r="I44" s="6">
        <v>3</v>
      </c>
      <c r="J44" t="str">
        <f t="shared" si="8"/>
        <v>59572-0405-28</v>
      </c>
      <c r="L44" s="5">
        <v>42602</v>
      </c>
      <c r="M44" s="6">
        <v>663.57619</v>
      </c>
      <c r="N44" s="6">
        <v>3</v>
      </c>
      <c r="O44" t="str">
        <f t="shared" si="9"/>
        <v>59572-0420-21</v>
      </c>
      <c r="Q44" s="5">
        <v>42602</v>
      </c>
      <c r="R44" s="6">
        <v>663.57619999999997</v>
      </c>
      <c r="S44" s="6">
        <v>3</v>
      </c>
      <c r="T44" t="str">
        <f t="shared" si="10"/>
        <v>59572-0420-00</v>
      </c>
      <c r="V44" s="5">
        <v>42602</v>
      </c>
      <c r="W44" s="6">
        <v>663.57619999999997</v>
      </c>
      <c r="X44" s="6">
        <v>3</v>
      </c>
      <c r="Y44" t="str">
        <f t="shared" si="11"/>
        <v>59572-0402-00</v>
      </c>
      <c r="AA44" s="5">
        <v>42602</v>
      </c>
      <c r="AB44" s="6">
        <v>663.57570999999996</v>
      </c>
      <c r="AC44" s="6">
        <v>3</v>
      </c>
      <c r="AD44" t="str">
        <f t="shared" si="12"/>
        <v>59572-0402-28</v>
      </c>
      <c r="AF44" s="5">
        <v>42602</v>
      </c>
      <c r="AG44" s="6">
        <v>663.57619999999997</v>
      </c>
      <c r="AH44" s="6">
        <v>3</v>
      </c>
      <c r="AI44" t="str">
        <f t="shared" si="13"/>
        <v>59572-0425-00</v>
      </c>
      <c r="AJ44" s="5">
        <v>42602</v>
      </c>
      <c r="AK44" s="6">
        <v>663.57619</v>
      </c>
      <c r="AL44" s="6">
        <v>3</v>
      </c>
      <c r="AM44" t="str">
        <f t="shared" si="14"/>
        <v>59572-0425-21</v>
      </c>
      <c r="AO44" s="5">
        <v>42602</v>
      </c>
      <c r="AP44" s="6">
        <v>663.57619</v>
      </c>
      <c r="AQ44" s="6">
        <v>3</v>
      </c>
      <c r="AR44" t="str">
        <f t="shared" si="15"/>
        <v>59572-0415-21</v>
      </c>
      <c r="AT44" s="5">
        <v>42602</v>
      </c>
      <c r="AU44" s="6">
        <v>663.57619999999997</v>
      </c>
      <c r="AV44" s="6">
        <v>3</v>
      </c>
      <c r="AW44" t="str">
        <f t="shared" si="16"/>
        <v>59572-0415-00</v>
      </c>
      <c r="AY44" s="5">
        <v>42602</v>
      </c>
      <c r="AZ44" s="6">
        <v>663.57619999999997</v>
      </c>
      <c r="BA44" s="6">
        <v>3</v>
      </c>
      <c r="BB44" t="str">
        <f t="shared" si="17"/>
        <v>59572-0410-00</v>
      </c>
      <c r="BD44" s="5">
        <v>42602</v>
      </c>
      <c r="BE44" s="6">
        <v>663.57570999999996</v>
      </c>
      <c r="BF44" s="6">
        <v>3</v>
      </c>
      <c r="BG44" t="str">
        <f t="shared" si="18"/>
        <v>59572-0410-28</v>
      </c>
    </row>
    <row r="45" spans="2:59" x14ac:dyDescent="0.15">
      <c r="B45" s="5">
        <v>42439</v>
      </c>
      <c r="C45" s="6">
        <v>644.24869999999999</v>
      </c>
      <c r="D45" s="6">
        <v>6.8</v>
      </c>
      <c r="E45" t="str">
        <f t="shared" si="7"/>
        <v>59572-0405-00</v>
      </c>
      <c r="G45" s="5">
        <v>42439</v>
      </c>
      <c r="H45" s="6">
        <v>644.24820999999997</v>
      </c>
      <c r="I45" s="6">
        <v>6.8</v>
      </c>
      <c r="J45" t="str">
        <f t="shared" si="8"/>
        <v>59572-0405-28</v>
      </c>
      <c r="L45" s="5">
        <v>42439</v>
      </c>
      <c r="M45" s="6">
        <v>644.24856999999997</v>
      </c>
      <c r="N45" s="6">
        <v>6.8</v>
      </c>
      <c r="O45" t="str">
        <f t="shared" si="9"/>
        <v>59572-0420-21</v>
      </c>
      <c r="Q45" s="5">
        <v>42439</v>
      </c>
      <c r="R45" s="6">
        <v>644.24869999999999</v>
      </c>
      <c r="S45" s="6">
        <v>6.8</v>
      </c>
      <c r="T45" t="str">
        <f t="shared" si="10"/>
        <v>59572-0420-00</v>
      </c>
      <c r="V45" s="5">
        <v>42439</v>
      </c>
      <c r="W45" s="6">
        <v>644.24869999999999</v>
      </c>
      <c r="X45" s="6">
        <v>6.8</v>
      </c>
      <c r="Y45" t="str">
        <f t="shared" si="11"/>
        <v>59572-0402-00</v>
      </c>
      <c r="AA45" s="5">
        <v>42439</v>
      </c>
      <c r="AB45" s="6">
        <v>644.24820999999997</v>
      </c>
      <c r="AC45" s="6">
        <v>6.8</v>
      </c>
      <c r="AD45" t="str">
        <f t="shared" si="12"/>
        <v>59572-0402-28</v>
      </c>
      <c r="AF45" s="5">
        <v>42439</v>
      </c>
      <c r="AG45" s="6">
        <v>644.24869999999999</v>
      </c>
      <c r="AH45" s="6">
        <v>6.8</v>
      </c>
      <c r="AI45" t="str">
        <f t="shared" si="13"/>
        <v>59572-0425-00</v>
      </c>
      <c r="AJ45" s="5">
        <v>42439</v>
      </c>
      <c r="AK45" s="6">
        <v>644.24856999999997</v>
      </c>
      <c r="AL45" s="6">
        <v>6.8</v>
      </c>
      <c r="AM45" t="str">
        <f t="shared" si="14"/>
        <v>59572-0425-21</v>
      </c>
      <c r="AO45" s="5">
        <v>42439</v>
      </c>
      <c r="AP45" s="6">
        <v>644.24856999999997</v>
      </c>
      <c r="AQ45" s="6">
        <v>6.8</v>
      </c>
      <c r="AR45" t="str">
        <f t="shared" si="15"/>
        <v>59572-0415-21</v>
      </c>
      <c r="AT45" s="5">
        <v>42439</v>
      </c>
      <c r="AU45" s="6">
        <v>644.24869999999999</v>
      </c>
      <c r="AV45" s="6">
        <v>6.8</v>
      </c>
      <c r="AW45" t="str">
        <f t="shared" si="16"/>
        <v>59572-0415-00</v>
      </c>
      <c r="AY45" s="5">
        <v>42439</v>
      </c>
      <c r="AZ45" s="6">
        <v>644.24869999999999</v>
      </c>
      <c r="BA45" s="6">
        <v>6.8</v>
      </c>
      <c r="BB45" t="str">
        <f t="shared" si="17"/>
        <v>59572-0410-00</v>
      </c>
      <c r="BD45" s="5">
        <v>42439</v>
      </c>
      <c r="BE45" s="6">
        <v>644.24820999999997</v>
      </c>
      <c r="BF45" s="6">
        <v>6.8</v>
      </c>
      <c r="BG45" t="str">
        <f t="shared" si="18"/>
        <v>59572-0410-28</v>
      </c>
    </row>
    <row r="46" spans="2:59" x14ac:dyDescent="0.15">
      <c r="B46" s="5">
        <v>42279</v>
      </c>
      <c r="C46" s="6">
        <v>603.22910000000002</v>
      </c>
      <c r="D46" s="6">
        <v>4</v>
      </c>
      <c r="E46" t="str">
        <f t="shared" si="7"/>
        <v>59572-0405-00</v>
      </c>
      <c r="G46" s="5">
        <v>42279</v>
      </c>
      <c r="H46" s="6">
        <v>603.22892999999999</v>
      </c>
      <c r="I46" s="6">
        <v>4</v>
      </c>
      <c r="J46" t="str">
        <f t="shared" si="8"/>
        <v>59572-0405-28</v>
      </c>
      <c r="L46" s="5">
        <v>42279</v>
      </c>
      <c r="M46" s="6">
        <v>603.22905000000003</v>
      </c>
      <c r="N46" s="6">
        <v>4</v>
      </c>
      <c r="O46" t="str">
        <f t="shared" si="9"/>
        <v>59572-0420-21</v>
      </c>
      <c r="Q46" s="5">
        <v>42279</v>
      </c>
      <c r="R46" s="6">
        <v>603.22910000000002</v>
      </c>
      <c r="S46" s="6">
        <v>4</v>
      </c>
      <c r="T46" t="str">
        <f t="shared" si="10"/>
        <v>59572-0420-00</v>
      </c>
      <c r="V46" s="5">
        <v>42279</v>
      </c>
      <c r="W46" s="6">
        <v>603.22910000000002</v>
      </c>
      <c r="X46" s="6">
        <v>4</v>
      </c>
      <c r="Y46" t="str">
        <f t="shared" si="11"/>
        <v>59572-0402-00</v>
      </c>
      <c r="AA46" s="5">
        <v>42279</v>
      </c>
      <c r="AB46" s="6">
        <v>603.22892999999999</v>
      </c>
      <c r="AC46" s="6">
        <v>4</v>
      </c>
      <c r="AD46" t="str">
        <f t="shared" si="12"/>
        <v>59572-0402-28</v>
      </c>
      <c r="AF46" s="5">
        <v>42279</v>
      </c>
      <c r="AG46" s="6">
        <v>603.22910000000002</v>
      </c>
      <c r="AH46" s="6">
        <v>4</v>
      </c>
      <c r="AI46" t="str">
        <f t="shared" si="13"/>
        <v>59572-0425-00</v>
      </c>
      <c r="AJ46" s="5">
        <v>42279</v>
      </c>
      <c r="AK46" s="6">
        <v>603.22905000000003</v>
      </c>
      <c r="AL46" s="6">
        <v>4</v>
      </c>
      <c r="AM46" t="str">
        <f t="shared" si="14"/>
        <v>59572-0425-21</v>
      </c>
      <c r="AO46" s="5">
        <v>42279</v>
      </c>
      <c r="AP46" s="6">
        <v>603.22905000000003</v>
      </c>
      <c r="AQ46" s="6">
        <v>4</v>
      </c>
      <c r="AR46" t="str">
        <f t="shared" si="15"/>
        <v>59572-0415-21</v>
      </c>
      <c r="AT46" s="5">
        <v>42279</v>
      </c>
      <c r="AU46" s="6">
        <v>603.22910000000002</v>
      </c>
      <c r="AV46" s="6">
        <v>4</v>
      </c>
      <c r="AW46" t="str">
        <f t="shared" si="16"/>
        <v>59572-0415-00</v>
      </c>
      <c r="AY46" s="5">
        <v>42279</v>
      </c>
      <c r="AZ46" s="6">
        <v>603.22910000000002</v>
      </c>
      <c r="BA46" s="6">
        <v>4</v>
      </c>
      <c r="BB46" t="str">
        <f t="shared" si="17"/>
        <v>59572-0410-00</v>
      </c>
      <c r="BD46" s="5">
        <v>42279</v>
      </c>
      <c r="BE46" s="6">
        <v>603.22892999999999</v>
      </c>
      <c r="BF46" s="6">
        <v>4</v>
      </c>
      <c r="BG46" t="str">
        <f t="shared" si="18"/>
        <v>59572-0410-28</v>
      </c>
    </row>
    <row r="47" spans="2:59" x14ac:dyDescent="0.15">
      <c r="B47" s="5">
        <v>42180</v>
      </c>
      <c r="C47" s="6">
        <v>580.02790000000005</v>
      </c>
      <c r="D47" s="6">
        <v>3</v>
      </c>
      <c r="E47" t="str">
        <f t="shared" si="7"/>
        <v>59572-0405-00</v>
      </c>
      <c r="G47" s="5">
        <v>42180</v>
      </c>
      <c r="H47" s="6">
        <v>580.02786000000003</v>
      </c>
      <c r="I47" s="6">
        <v>3</v>
      </c>
      <c r="J47" t="str">
        <f t="shared" si="8"/>
        <v>59572-0405-28</v>
      </c>
      <c r="L47" s="5">
        <v>42180</v>
      </c>
      <c r="M47" s="6">
        <v>580.02809999999999</v>
      </c>
      <c r="N47" s="6">
        <v>3</v>
      </c>
      <c r="O47" t="str">
        <f t="shared" si="9"/>
        <v>59572-0420-21</v>
      </c>
      <c r="Q47" s="5">
        <v>42180</v>
      </c>
      <c r="R47" s="6">
        <v>580.02790000000005</v>
      </c>
      <c r="S47" s="6">
        <v>3</v>
      </c>
      <c r="T47" t="str">
        <f t="shared" si="10"/>
        <v>59572-0420-00</v>
      </c>
      <c r="V47" s="5">
        <v>42180</v>
      </c>
      <c r="W47" s="6">
        <v>580.02790000000005</v>
      </c>
      <c r="X47" s="6">
        <v>3</v>
      </c>
      <c r="Y47" t="str">
        <f t="shared" si="11"/>
        <v>59572-0402-00</v>
      </c>
      <c r="AA47" s="5">
        <v>42180</v>
      </c>
      <c r="AB47" s="6">
        <v>580.02786000000003</v>
      </c>
      <c r="AC47" s="6">
        <v>3</v>
      </c>
      <c r="AD47" t="str">
        <f t="shared" si="12"/>
        <v>59572-0402-28</v>
      </c>
      <c r="AF47" s="5">
        <v>42180</v>
      </c>
      <c r="AG47" s="6">
        <v>580.02790000000005</v>
      </c>
      <c r="AH47" s="6">
        <v>3</v>
      </c>
      <c r="AI47" t="str">
        <f t="shared" si="13"/>
        <v>59572-0425-00</v>
      </c>
      <c r="AJ47" s="5">
        <v>42180</v>
      </c>
      <c r="AK47" s="6">
        <v>580.02809999999999</v>
      </c>
      <c r="AL47" s="6">
        <v>3</v>
      </c>
      <c r="AM47" t="str">
        <f t="shared" si="14"/>
        <v>59572-0425-21</v>
      </c>
      <c r="AO47" s="5">
        <v>42180</v>
      </c>
      <c r="AP47" s="6">
        <v>580.02809999999999</v>
      </c>
      <c r="AQ47" s="6">
        <v>3</v>
      </c>
      <c r="AR47" t="str">
        <f t="shared" si="15"/>
        <v>59572-0415-21</v>
      </c>
      <c r="AT47" s="5">
        <v>42180</v>
      </c>
      <c r="AU47" s="6">
        <v>580.02790000000005</v>
      </c>
      <c r="AV47" s="6">
        <v>3</v>
      </c>
      <c r="AW47" t="str">
        <f t="shared" si="16"/>
        <v>59572-0415-00</v>
      </c>
      <c r="AY47" s="5">
        <v>42180</v>
      </c>
      <c r="AZ47" s="6">
        <v>580.02790000000005</v>
      </c>
      <c r="BA47" s="6">
        <v>3</v>
      </c>
      <c r="BB47" t="str">
        <f t="shared" si="17"/>
        <v>59572-0410-00</v>
      </c>
      <c r="BD47" s="5">
        <v>42180</v>
      </c>
      <c r="BE47" s="6">
        <v>580.02786000000003</v>
      </c>
      <c r="BF47" s="6">
        <v>3</v>
      </c>
      <c r="BG47" t="str">
        <f t="shared" si="18"/>
        <v>59572-0410-28</v>
      </c>
    </row>
    <row r="48" spans="2:59" x14ac:dyDescent="0.15">
      <c r="B48" s="5">
        <v>41996</v>
      </c>
      <c r="C48" s="6">
        <v>563.13390000000004</v>
      </c>
      <c r="D48" s="6">
        <v>3</v>
      </c>
      <c r="E48" t="str">
        <f t="shared" si="7"/>
        <v>59572-0405-00</v>
      </c>
      <c r="G48" s="5">
        <v>41996</v>
      </c>
      <c r="H48" s="6">
        <v>563.13392999999996</v>
      </c>
      <c r="I48" s="6">
        <v>3</v>
      </c>
      <c r="J48" t="str">
        <f t="shared" si="8"/>
        <v>59572-0405-28</v>
      </c>
      <c r="L48" s="5">
        <v>41996</v>
      </c>
      <c r="M48" s="6">
        <v>563.13381000000004</v>
      </c>
      <c r="N48" s="6">
        <v>3</v>
      </c>
      <c r="O48" t="str">
        <f t="shared" si="9"/>
        <v>59572-0420-21</v>
      </c>
      <c r="Q48" s="5">
        <v>41996</v>
      </c>
      <c r="R48" s="6">
        <v>563.13390000000004</v>
      </c>
      <c r="S48" s="6">
        <v>3</v>
      </c>
      <c r="T48" t="str">
        <f t="shared" si="10"/>
        <v>59572-0420-00</v>
      </c>
      <c r="V48" s="5">
        <v>41996</v>
      </c>
      <c r="W48" s="6">
        <v>563.13390000000004</v>
      </c>
      <c r="X48" s="6">
        <v>3</v>
      </c>
      <c r="Y48" t="str">
        <f t="shared" si="11"/>
        <v>59572-0402-00</v>
      </c>
      <c r="AA48" s="5">
        <v>41996</v>
      </c>
      <c r="AB48" s="6">
        <v>563.13392999999996</v>
      </c>
      <c r="AC48" s="6">
        <v>3</v>
      </c>
      <c r="AD48" t="str">
        <f t="shared" si="12"/>
        <v>59572-0402-28</v>
      </c>
      <c r="AF48" s="5">
        <v>41996</v>
      </c>
      <c r="AG48" s="6">
        <v>563.13390000000004</v>
      </c>
      <c r="AH48" s="6">
        <v>3</v>
      </c>
      <c r="AI48" t="str">
        <f t="shared" si="13"/>
        <v>59572-0425-00</v>
      </c>
      <c r="AJ48" s="5">
        <v>41996</v>
      </c>
      <c r="AK48" s="6">
        <v>563.13381000000004</v>
      </c>
      <c r="AL48" s="6">
        <v>3</v>
      </c>
      <c r="AM48" t="str">
        <f t="shared" si="14"/>
        <v>59572-0425-21</v>
      </c>
      <c r="AO48" s="5">
        <v>41996</v>
      </c>
      <c r="AP48" s="6">
        <v>563.13381000000004</v>
      </c>
      <c r="AQ48" s="6">
        <v>3</v>
      </c>
      <c r="AR48" t="str">
        <f t="shared" si="15"/>
        <v>59572-0415-21</v>
      </c>
      <c r="AT48" s="5">
        <v>41996</v>
      </c>
      <c r="AU48" s="6">
        <v>563.13390000000004</v>
      </c>
      <c r="AV48" s="6">
        <v>3</v>
      </c>
      <c r="AW48" t="str">
        <f t="shared" si="16"/>
        <v>59572-0415-00</v>
      </c>
      <c r="AY48" s="5">
        <v>41996</v>
      </c>
      <c r="AZ48" s="6">
        <v>563.13390000000004</v>
      </c>
      <c r="BA48" s="6">
        <v>3</v>
      </c>
      <c r="BB48" t="str">
        <f t="shared" si="17"/>
        <v>59572-0410-00</v>
      </c>
      <c r="BD48" s="5">
        <v>41996</v>
      </c>
      <c r="BE48" s="6">
        <v>563.13392999999996</v>
      </c>
      <c r="BF48" s="6">
        <v>3</v>
      </c>
      <c r="BG48" t="str">
        <f t="shared" si="18"/>
        <v>59572-0410-28</v>
      </c>
    </row>
    <row r="49" spans="2:59" x14ac:dyDescent="0.15">
      <c r="B49" s="5">
        <v>41885</v>
      </c>
      <c r="C49" s="6">
        <v>546.73199999999997</v>
      </c>
      <c r="D49" s="6">
        <v>6.2</v>
      </c>
      <c r="E49" t="str">
        <f t="shared" si="7"/>
        <v>59572-0405-00</v>
      </c>
      <c r="G49" s="5">
        <v>41885</v>
      </c>
      <c r="H49" s="6">
        <v>546.73213999999996</v>
      </c>
      <c r="I49" s="6">
        <v>6.2</v>
      </c>
      <c r="J49" t="str">
        <f t="shared" si="8"/>
        <v>59572-0405-28</v>
      </c>
      <c r="L49" s="5">
        <v>41885</v>
      </c>
      <c r="M49" s="6">
        <v>546.7319</v>
      </c>
      <c r="N49" s="6">
        <v>3</v>
      </c>
      <c r="O49" t="str">
        <f t="shared" si="9"/>
        <v>59572-0420-21</v>
      </c>
      <c r="Q49" s="5">
        <v>41885</v>
      </c>
      <c r="R49" s="6">
        <v>546.73199999999997</v>
      </c>
      <c r="S49" s="6">
        <v>3</v>
      </c>
      <c r="T49" t="str">
        <f t="shared" si="10"/>
        <v>59572-0420-00</v>
      </c>
      <c r="V49" s="5">
        <v>41885</v>
      </c>
      <c r="W49" s="6">
        <v>546.73199999999997</v>
      </c>
      <c r="X49" s="6">
        <v>6.2</v>
      </c>
      <c r="Y49" t="str">
        <f t="shared" si="11"/>
        <v>59572-0402-00</v>
      </c>
      <c r="AA49" s="5">
        <v>41885</v>
      </c>
      <c r="AB49" s="6">
        <v>546.73213999999996</v>
      </c>
      <c r="AC49" s="6">
        <v>6.2</v>
      </c>
      <c r="AD49" t="str">
        <f t="shared" si="12"/>
        <v>59572-0402-28</v>
      </c>
      <c r="AF49" s="5">
        <v>41885</v>
      </c>
      <c r="AG49" s="6">
        <v>546.73199999999997</v>
      </c>
      <c r="AH49" s="6">
        <v>3</v>
      </c>
      <c r="AI49" t="str">
        <f t="shared" si="13"/>
        <v>59572-0425-00</v>
      </c>
      <c r="AJ49" s="5">
        <v>41885</v>
      </c>
      <c r="AK49" s="6">
        <v>546.7319</v>
      </c>
      <c r="AL49" s="6">
        <v>3</v>
      </c>
      <c r="AM49" t="str">
        <f t="shared" si="14"/>
        <v>59572-0425-21</v>
      </c>
      <c r="AO49" s="5">
        <v>41885</v>
      </c>
      <c r="AP49" s="6">
        <v>546.7319</v>
      </c>
      <c r="AQ49" s="6">
        <v>4</v>
      </c>
      <c r="AR49" t="str">
        <f t="shared" si="15"/>
        <v>59572-0415-21</v>
      </c>
      <c r="AT49" s="5">
        <v>41885</v>
      </c>
      <c r="AU49" s="6">
        <v>546.73199999999997</v>
      </c>
      <c r="AV49" s="6">
        <v>4</v>
      </c>
      <c r="AW49" t="str">
        <f t="shared" si="16"/>
        <v>59572-0415-00</v>
      </c>
      <c r="AY49" s="5">
        <v>41885</v>
      </c>
      <c r="AZ49" s="6">
        <v>546.73199999999997</v>
      </c>
      <c r="BA49" s="6">
        <v>4.4000000000000004</v>
      </c>
      <c r="BB49" t="str">
        <f t="shared" si="17"/>
        <v>59572-0410-00</v>
      </c>
      <c r="BD49" s="5">
        <v>41885</v>
      </c>
      <c r="BE49" s="6">
        <v>546.73213999999996</v>
      </c>
      <c r="BF49" s="6">
        <v>4.4000000000000004</v>
      </c>
      <c r="BG49" t="str">
        <f t="shared" si="18"/>
        <v>59572-0410-28</v>
      </c>
    </row>
    <row r="50" spans="2:59" x14ac:dyDescent="0.15">
      <c r="B50" s="5">
        <v>41704</v>
      </c>
      <c r="C50" s="6">
        <v>514.6721</v>
      </c>
      <c r="D50" s="6">
        <v>4</v>
      </c>
      <c r="E50" t="str">
        <f t="shared" si="7"/>
        <v>59572-0405-00</v>
      </c>
      <c r="G50" s="5">
        <v>41704</v>
      </c>
      <c r="H50" s="6">
        <v>514.67214000000001</v>
      </c>
      <c r="I50" s="6">
        <v>4</v>
      </c>
      <c r="J50" t="str">
        <f t="shared" si="8"/>
        <v>59572-0405-28</v>
      </c>
      <c r="L50" s="5">
        <v>41704</v>
      </c>
      <c r="M50" s="6">
        <v>530.81429000000003</v>
      </c>
      <c r="N50" s="6">
        <v>4</v>
      </c>
      <c r="O50" t="str">
        <f t="shared" si="9"/>
        <v>59572-0420-21</v>
      </c>
      <c r="Q50" s="5">
        <v>41704</v>
      </c>
      <c r="R50" s="6">
        <v>530.81380000000001</v>
      </c>
      <c r="S50" s="6">
        <v>4</v>
      </c>
      <c r="T50" t="str">
        <f t="shared" si="10"/>
        <v>59572-0420-00</v>
      </c>
      <c r="V50" s="5">
        <v>41704</v>
      </c>
      <c r="W50" s="6">
        <v>514.6721</v>
      </c>
      <c r="X50" s="6">
        <v>4</v>
      </c>
      <c r="Y50" t="str">
        <f t="shared" si="11"/>
        <v>59572-0402-00</v>
      </c>
      <c r="AA50" s="5">
        <v>41704</v>
      </c>
      <c r="AB50" s="6">
        <v>514.67214000000001</v>
      </c>
      <c r="AC50" s="6">
        <v>4</v>
      </c>
      <c r="AD50" t="str">
        <f t="shared" si="12"/>
        <v>59572-0402-28</v>
      </c>
      <c r="AF50" s="5">
        <v>41704</v>
      </c>
      <c r="AG50" s="6">
        <v>530.81380000000001</v>
      </c>
      <c r="AH50" s="6">
        <v>4</v>
      </c>
      <c r="AI50" t="str">
        <f t="shared" si="13"/>
        <v>59572-0425-00</v>
      </c>
      <c r="AJ50" s="5">
        <v>41704</v>
      </c>
      <c r="AK50" s="6">
        <v>530.81429000000003</v>
      </c>
      <c r="AL50" s="6">
        <v>4</v>
      </c>
      <c r="AM50" t="str">
        <f t="shared" si="14"/>
        <v>59572-0425-21</v>
      </c>
      <c r="AO50" s="5">
        <v>41704</v>
      </c>
      <c r="AP50" s="6">
        <v>525.64619000000005</v>
      </c>
      <c r="AQ50" s="6">
        <v>4</v>
      </c>
      <c r="AR50" t="str">
        <f t="shared" si="15"/>
        <v>59572-0415-21</v>
      </c>
      <c r="AT50" s="5">
        <v>41704</v>
      </c>
      <c r="AU50" s="6">
        <v>525.64620000000002</v>
      </c>
      <c r="AV50" s="6">
        <v>4</v>
      </c>
      <c r="AW50" t="str">
        <f t="shared" si="16"/>
        <v>59572-0415-00</v>
      </c>
      <c r="AY50" s="5">
        <v>41704</v>
      </c>
      <c r="AZ50" s="6">
        <v>523.51120000000003</v>
      </c>
      <c r="BA50" s="6">
        <v>4</v>
      </c>
      <c r="BB50" t="str">
        <f t="shared" si="17"/>
        <v>59572-0410-00</v>
      </c>
      <c r="BD50" s="5">
        <v>41704</v>
      </c>
      <c r="BE50" s="6">
        <v>523.51107000000002</v>
      </c>
      <c r="BF50" s="6">
        <v>4</v>
      </c>
      <c r="BG50" t="str">
        <f t="shared" si="18"/>
        <v>59572-0410-28</v>
      </c>
    </row>
    <row r="51" spans="2:59" x14ac:dyDescent="0.15">
      <c r="B51" s="5">
        <v>41548</v>
      </c>
      <c r="C51" s="6">
        <v>494.87700000000001</v>
      </c>
      <c r="D51" s="6">
        <v>3</v>
      </c>
      <c r="E51" t="str">
        <f t="shared" si="7"/>
        <v>59572-0405-00</v>
      </c>
      <c r="G51" s="5">
        <v>41548</v>
      </c>
      <c r="H51" s="6">
        <v>494.87714</v>
      </c>
      <c r="I51" s="6">
        <v>3</v>
      </c>
      <c r="J51" t="str">
        <f t="shared" si="8"/>
        <v>59572-0405-28</v>
      </c>
      <c r="L51" s="5">
        <v>41548</v>
      </c>
      <c r="M51" s="6">
        <v>510.3981</v>
      </c>
      <c r="N51" s="6">
        <v>3</v>
      </c>
      <c r="O51" t="str">
        <f t="shared" si="9"/>
        <v>59572-0420-21</v>
      </c>
      <c r="Q51" s="5">
        <v>41548</v>
      </c>
      <c r="R51" s="6">
        <v>510.39780000000002</v>
      </c>
      <c r="S51" s="6">
        <v>3</v>
      </c>
      <c r="T51" t="str">
        <f t="shared" si="10"/>
        <v>59572-0420-00</v>
      </c>
      <c r="V51" s="5">
        <v>41548</v>
      </c>
      <c r="W51" s="6">
        <v>494.87700000000001</v>
      </c>
      <c r="X51" s="6">
        <v>3</v>
      </c>
      <c r="Y51" t="str">
        <f t="shared" si="11"/>
        <v>59572-0402-00</v>
      </c>
      <c r="AA51" s="5">
        <v>41548</v>
      </c>
      <c r="AB51" s="6">
        <v>494.87714</v>
      </c>
      <c r="AC51" s="6">
        <v>3</v>
      </c>
      <c r="AD51" t="str">
        <f t="shared" si="12"/>
        <v>59572-0402-28</v>
      </c>
      <c r="AF51" s="5">
        <v>41548</v>
      </c>
      <c r="AG51" s="6">
        <v>510.39780000000002</v>
      </c>
      <c r="AH51" s="6">
        <v>3</v>
      </c>
      <c r="AI51" t="str">
        <f t="shared" si="13"/>
        <v>59572-0425-00</v>
      </c>
      <c r="AJ51" s="5">
        <v>41548</v>
      </c>
      <c r="AK51" s="6">
        <v>510.3981</v>
      </c>
      <c r="AL51" s="6">
        <v>3</v>
      </c>
      <c r="AM51" t="str">
        <f t="shared" si="14"/>
        <v>59572-0425-21</v>
      </c>
      <c r="AO51" s="5">
        <v>41548</v>
      </c>
      <c r="AP51" s="6">
        <v>505.42905000000002</v>
      </c>
      <c r="AQ51" s="6">
        <v>3</v>
      </c>
      <c r="AR51" t="str">
        <f t="shared" si="15"/>
        <v>59572-0415-21</v>
      </c>
      <c r="AT51" s="5">
        <v>41548</v>
      </c>
      <c r="AU51" s="6">
        <v>505.42910000000001</v>
      </c>
      <c r="AV51" s="6">
        <v>3</v>
      </c>
      <c r="AW51" t="str">
        <f t="shared" si="16"/>
        <v>59572-0415-00</v>
      </c>
      <c r="AY51" s="5">
        <v>41548</v>
      </c>
      <c r="AZ51" s="6">
        <v>503.37610000000001</v>
      </c>
      <c r="BA51" s="6">
        <v>3</v>
      </c>
      <c r="BB51" t="str">
        <f t="shared" si="17"/>
        <v>59572-0410-00</v>
      </c>
      <c r="BD51" s="5">
        <v>41548</v>
      </c>
      <c r="BE51" s="6">
        <v>503.37607000000003</v>
      </c>
      <c r="BF51" s="6">
        <v>3</v>
      </c>
      <c r="BG51" t="str">
        <f t="shared" si="18"/>
        <v>59572-0410-28</v>
      </c>
    </row>
    <row r="52" spans="2:59" x14ac:dyDescent="0.15">
      <c r="B52" s="5">
        <v>41363</v>
      </c>
      <c r="C52" s="6">
        <v>480.4631</v>
      </c>
      <c r="D52" s="6">
        <v>3</v>
      </c>
      <c r="E52" t="str">
        <f t="shared" si="7"/>
        <v>59572-0405-00</v>
      </c>
      <c r="G52" s="5">
        <v>41363</v>
      </c>
      <c r="H52" s="6">
        <v>480.46321</v>
      </c>
      <c r="I52" s="6">
        <v>3</v>
      </c>
      <c r="J52" t="str">
        <f t="shared" si="8"/>
        <v>59572-0405-28</v>
      </c>
      <c r="L52" s="5">
        <v>41443</v>
      </c>
      <c r="M52" s="6">
        <v>495.53237999999999</v>
      </c>
      <c r="N52" s="6">
        <v>0</v>
      </c>
      <c r="O52" t="str">
        <f t="shared" si="9"/>
        <v>59572-0420-21</v>
      </c>
      <c r="Q52" s="5">
        <v>41443</v>
      </c>
      <c r="R52" s="6">
        <v>495.53179999999998</v>
      </c>
      <c r="S52" s="6">
        <v>0</v>
      </c>
      <c r="T52" t="str">
        <f t="shared" si="10"/>
        <v>59572-0420-00</v>
      </c>
      <c r="V52" s="5">
        <v>41363</v>
      </c>
      <c r="W52" s="6">
        <v>480.4631</v>
      </c>
      <c r="X52" s="6">
        <v>3</v>
      </c>
      <c r="Y52" t="str">
        <f t="shared" si="11"/>
        <v>59572-0402-00</v>
      </c>
      <c r="AA52" s="5">
        <v>41363</v>
      </c>
      <c r="AB52" s="6">
        <v>480.46321</v>
      </c>
      <c r="AC52" s="6">
        <v>3</v>
      </c>
      <c r="AD52" t="str">
        <f t="shared" si="12"/>
        <v>59572-0402-28</v>
      </c>
      <c r="AF52" s="5">
        <v>41363</v>
      </c>
      <c r="AG52" s="6">
        <v>495.53179999999998</v>
      </c>
      <c r="AH52" s="6">
        <v>3</v>
      </c>
      <c r="AI52" t="str">
        <f t="shared" si="13"/>
        <v>59572-0425-00</v>
      </c>
      <c r="AJ52" s="5">
        <v>41363</v>
      </c>
      <c r="AK52" s="6">
        <v>495.53237999999999</v>
      </c>
      <c r="AL52" s="6">
        <v>3</v>
      </c>
      <c r="AM52" t="str">
        <f t="shared" si="14"/>
        <v>59572-0425-21</v>
      </c>
      <c r="AO52" s="5">
        <v>41363</v>
      </c>
      <c r="AP52" s="6">
        <v>490.7081</v>
      </c>
      <c r="AQ52" s="6">
        <v>3</v>
      </c>
      <c r="AR52" t="str">
        <f t="shared" si="15"/>
        <v>59572-0415-21</v>
      </c>
      <c r="AT52" s="5">
        <v>41363</v>
      </c>
      <c r="AU52" s="6">
        <v>490.7079</v>
      </c>
      <c r="AV52" s="6">
        <v>3</v>
      </c>
      <c r="AW52" t="str">
        <f t="shared" si="16"/>
        <v>59572-0415-00</v>
      </c>
      <c r="AY52" s="5">
        <v>41363</v>
      </c>
      <c r="AZ52" s="6">
        <v>488.71460000000002</v>
      </c>
      <c r="BA52" s="6">
        <v>3</v>
      </c>
      <c r="BB52" t="str">
        <f t="shared" si="17"/>
        <v>59572-0410-00</v>
      </c>
      <c r="BD52" s="5">
        <v>41363</v>
      </c>
      <c r="BE52" s="6">
        <v>488.71463999999997</v>
      </c>
      <c r="BF52" s="6">
        <v>3</v>
      </c>
      <c r="BG52" t="str">
        <f t="shared" si="18"/>
        <v>59572-0410-28</v>
      </c>
    </row>
    <row r="53" spans="2:59" x14ac:dyDescent="0.15">
      <c r="B53" s="5">
        <v>41214</v>
      </c>
      <c r="C53" s="6">
        <v>466.46910000000003</v>
      </c>
      <c r="D53" s="6">
        <v>6</v>
      </c>
      <c r="E53" t="str">
        <f t="shared" si="7"/>
        <v>59572-0405-00</v>
      </c>
      <c r="G53" s="5">
        <v>41214</v>
      </c>
      <c r="H53" s="6">
        <v>466.46929</v>
      </c>
      <c r="I53" s="6">
        <v>6</v>
      </c>
      <c r="J53" t="str">
        <f t="shared" si="8"/>
        <v>59572-0405-28</v>
      </c>
      <c r="V53" s="5">
        <v>41214</v>
      </c>
      <c r="W53" s="6">
        <v>466.46910000000003</v>
      </c>
      <c r="X53" s="6">
        <v>6</v>
      </c>
      <c r="Y53" t="str">
        <f t="shared" si="11"/>
        <v>59572-0402-00</v>
      </c>
      <c r="AA53" s="5">
        <v>41214</v>
      </c>
      <c r="AB53" s="6">
        <v>466.46929</v>
      </c>
      <c r="AC53" s="6">
        <v>6</v>
      </c>
      <c r="AD53" t="str">
        <f t="shared" si="12"/>
        <v>59572-0402-28</v>
      </c>
      <c r="AF53" s="5">
        <v>41214</v>
      </c>
      <c r="AG53" s="6">
        <v>481.09879999999998</v>
      </c>
      <c r="AH53" s="6">
        <v>6</v>
      </c>
      <c r="AI53" t="str">
        <f t="shared" si="13"/>
        <v>59572-0425-00</v>
      </c>
      <c r="AJ53" s="5">
        <v>41214</v>
      </c>
      <c r="AK53" s="6">
        <v>481.09951999999998</v>
      </c>
      <c r="AL53" s="6">
        <v>6</v>
      </c>
      <c r="AM53" t="str">
        <f t="shared" si="14"/>
        <v>59572-0425-21</v>
      </c>
      <c r="AO53" s="5">
        <v>41214</v>
      </c>
      <c r="AP53" s="6">
        <v>476.41523999999998</v>
      </c>
      <c r="AQ53" s="6">
        <v>6</v>
      </c>
      <c r="AR53" t="str">
        <f t="shared" si="15"/>
        <v>59572-0415-21</v>
      </c>
      <c r="AT53" s="5">
        <v>41214</v>
      </c>
      <c r="AU53" s="6">
        <v>476.41539999999998</v>
      </c>
      <c r="AV53" s="6">
        <v>6</v>
      </c>
      <c r="AW53" t="str">
        <f t="shared" si="16"/>
        <v>59572-0415-00</v>
      </c>
      <c r="AY53" s="5">
        <v>41214</v>
      </c>
      <c r="AZ53" s="6">
        <v>474.48020000000002</v>
      </c>
      <c r="BA53" s="6">
        <v>6</v>
      </c>
      <c r="BB53" t="str">
        <f t="shared" si="17"/>
        <v>59572-0410-00</v>
      </c>
      <c r="BD53" s="5">
        <v>41214</v>
      </c>
      <c r="BE53" s="6">
        <v>474.48</v>
      </c>
      <c r="BF53" s="6">
        <v>6</v>
      </c>
      <c r="BG53" t="str">
        <f t="shared" si="18"/>
        <v>59572-0410-28</v>
      </c>
    </row>
    <row r="54" spans="2:59" x14ac:dyDescent="0.15">
      <c r="B54" s="5">
        <v>40876</v>
      </c>
      <c r="C54" s="6">
        <v>440.06509999999997</v>
      </c>
      <c r="D54" s="6">
        <v>6</v>
      </c>
      <c r="E54" t="str">
        <f t="shared" si="7"/>
        <v>59572-0405-00</v>
      </c>
      <c r="G54" s="5">
        <v>40876</v>
      </c>
      <c r="H54" s="6">
        <v>440.06536</v>
      </c>
      <c r="I54" s="6">
        <v>6</v>
      </c>
      <c r="J54" t="str">
        <f t="shared" si="8"/>
        <v>59572-0405-28</v>
      </c>
      <c r="V54" s="5">
        <v>41015</v>
      </c>
      <c r="W54" s="6">
        <v>440.06509999999997</v>
      </c>
      <c r="X54" s="6">
        <v>0</v>
      </c>
      <c r="Y54" t="str">
        <f t="shared" si="11"/>
        <v>59572-0402-00</v>
      </c>
      <c r="AA54" s="5">
        <v>41015</v>
      </c>
      <c r="AB54" s="6">
        <v>440.06536</v>
      </c>
      <c r="AC54" s="6">
        <v>0</v>
      </c>
      <c r="AD54" t="str">
        <f t="shared" si="12"/>
        <v>59572-0402-28</v>
      </c>
      <c r="AF54" s="5">
        <v>40876</v>
      </c>
      <c r="AG54" s="6">
        <v>453.86689999999999</v>
      </c>
      <c r="AH54" s="6">
        <v>6</v>
      </c>
      <c r="AI54" t="str">
        <f t="shared" si="13"/>
        <v>59572-0425-00</v>
      </c>
      <c r="AJ54" s="5">
        <v>40876</v>
      </c>
      <c r="AK54" s="6">
        <v>453.86761999999999</v>
      </c>
      <c r="AL54" s="6">
        <v>6</v>
      </c>
      <c r="AM54" t="str">
        <f t="shared" si="14"/>
        <v>59572-0425-21</v>
      </c>
      <c r="AO54" s="5">
        <v>40876</v>
      </c>
      <c r="AP54" s="6">
        <v>449.44857000000002</v>
      </c>
      <c r="AQ54" s="6">
        <v>6</v>
      </c>
      <c r="AR54" t="str">
        <f t="shared" si="15"/>
        <v>59572-0415-21</v>
      </c>
      <c r="AT54" s="5">
        <v>40876</v>
      </c>
      <c r="AU54" s="6">
        <v>449.44850000000002</v>
      </c>
      <c r="AV54" s="6">
        <v>6</v>
      </c>
      <c r="AW54" t="str">
        <f t="shared" si="16"/>
        <v>59572-0415-00</v>
      </c>
      <c r="AY54" s="5">
        <v>40876</v>
      </c>
      <c r="AZ54" s="6">
        <v>447.62290000000002</v>
      </c>
      <c r="BA54" s="6">
        <v>6</v>
      </c>
      <c r="BB54" t="str">
        <f t="shared" si="17"/>
        <v>59572-0410-00</v>
      </c>
      <c r="BD54" s="5">
        <v>40876</v>
      </c>
      <c r="BE54" s="6">
        <v>447.62286</v>
      </c>
      <c r="BF54" s="6">
        <v>6</v>
      </c>
      <c r="BG54" t="str">
        <f t="shared" si="18"/>
        <v>59572-0410-28</v>
      </c>
    </row>
    <row r="55" spans="2:59" x14ac:dyDescent="0.15">
      <c r="B55" s="5">
        <v>40523</v>
      </c>
      <c r="C55" s="6">
        <v>415.15570000000002</v>
      </c>
      <c r="D55" s="6">
        <v>7</v>
      </c>
      <c r="E55" t="str">
        <f t="shared" si="7"/>
        <v>59572-0405-00</v>
      </c>
      <c r="G55" s="5">
        <v>40523</v>
      </c>
      <c r="H55" s="6">
        <v>415.15571</v>
      </c>
      <c r="I55" s="6">
        <v>7</v>
      </c>
      <c r="J55" t="str">
        <f t="shared" si="8"/>
        <v>59572-0405-28</v>
      </c>
      <c r="AF55" s="5">
        <v>40523</v>
      </c>
      <c r="AG55" s="6">
        <v>428.17630000000003</v>
      </c>
      <c r="AH55" s="6">
        <v>4</v>
      </c>
      <c r="AI55" t="str">
        <f t="shared" si="13"/>
        <v>59572-0425-00</v>
      </c>
      <c r="AJ55" s="5">
        <v>40523</v>
      </c>
      <c r="AK55" s="6">
        <v>428.17667</v>
      </c>
      <c r="AL55" s="6">
        <v>4</v>
      </c>
      <c r="AM55" t="str">
        <f t="shared" si="14"/>
        <v>59572-0425-21</v>
      </c>
      <c r="AO55" s="5">
        <v>40523</v>
      </c>
      <c r="AP55" s="6">
        <v>424.00810000000001</v>
      </c>
      <c r="AQ55" s="6">
        <v>4</v>
      </c>
      <c r="AR55" t="str">
        <f t="shared" si="15"/>
        <v>59572-0415-21</v>
      </c>
      <c r="AT55" s="5">
        <v>40523</v>
      </c>
      <c r="AU55" s="6">
        <v>424.00799999999998</v>
      </c>
      <c r="AV55" s="6">
        <v>4</v>
      </c>
      <c r="AW55" t="str">
        <f t="shared" si="16"/>
        <v>59572-0415-00</v>
      </c>
      <c r="AY55" s="5">
        <v>40523</v>
      </c>
      <c r="AZ55" s="6">
        <v>422.28579999999999</v>
      </c>
      <c r="BA55" s="6">
        <v>4</v>
      </c>
      <c r="BB55" t="str">
        <f t="shared" si="17"/>
        <v>59572-0410-00</v>
      </c>
      <c r="BD55" s="5">
        <v>40523</v>
      </c>
      <c r="BE55" s="6">
        <v>422.28570999999999</v>
      </c>
      <c r="BF55" s="6">
        <v>4</v>
      </c>
      <c r="BG55" t="str">
        <f t="shared" si="18"/>
        <v>59572-0410-28</v>
      </c>
    </row>
    <row r="56" spans="2:59" x14ac:dyDescent="0.15">
      <c r="B56" s="5">
        <v>40183</v>
      </c>
      <c r="C56" s="6">
        <v>388.00029999999998</v>
      </c>
      <c r="D56" s="6">
        <v>8.9</v>
      </c>
      <c r="E56" t="str">
        <f t="shared" si="7"/>
        <v>59572-0405-00</v>
      </c>
      <c r="G56" s="5">
        <v>40183</v>
      </c>
      <c r="H56" s="6">
        <v>387.99786</v>
      </c>
      <c r="I56" s="6">
        <v>8.9</v>
      </c>
      <c r="J56" t="str">
        <f t="shared" si="8"/>
        <v>59572-0405-28</v>
      </c>
      <c r="AF56" s="5">
        <v>40183</v>
      </c>
      <c r="AG56" s="6">
        <v>411.70839999999998</v>
      </c>
      <c r="AH56" s="6">
        <v>4.9000000000000004</v>
      </c>
      <c r="AI56" t="str">
        <f t="shared" si="13"/>
        <v>59572-0425-00</v>
      </c>
      <c r="AJ56" s="5">
        <v>40183</v>
      </c>
      <c r="AK56" s="6">
        <v>411.70285999999999</v>
      </c>
      <c r="AL56" s="6">
        <v>4.9000000000000004</v>
      </c>
      <c r="AM56" t="str">
        <f t="shared" si="14"/>
        <v>59572-0425-21</v>
      </c>
      <c r="AO56" s="5">
        <v>40183</v>
      </c>
      <c r="AP56" s="6">
        <v>407.70380999999998</v>
      </c>
      <c r="AQ56" s="6">
        <v>4.9000000000000004</v>
      </c>
      <c r="AR56" t="str">
        <f t="shared" si="15"/>
        <v>59572-0415-21</v>
      </c>
      <c r="AT56" s="5">
        <v>40183</v>
      </c>
      <c r="AU56" s="6">
        <v>407.70409999999998</v>
      </c>
      <c r="AV56" s="6">
        <v>4.9000000000000004</v>
      </c>
      <c r="AW56" t="str">
        <f t="shared" si="16"/>
        <v>59572-0415-00</v>
      </c>
      <c r="AY56" s="5">
        <v>40183</v>
      </c>
      <c r="AZ56" s="6">
        <v>406.04680000000002</v>
      </c>
      <c r="BA56" s="6">
        <v>8.9</v>
      </c>
      <c r="BB56" t="str">
        <f t="shared" si="17"/>
        <v>59572-0410-00</v>
      </c>
      <c r="BD56" s="5">
        <v>40183</v>
      </c>
      <c r="BE56" s="6">
        <v>406.04928999999998</v>
      </c>
      <c r="BF56" s="6">
        <v>8.9</v>
      </c>
      <c r="BG56" t="str">
        <f t="shared" si="18"/>
        <v>59572-0410-28</v>
      </c>
    </row>
    <row r="57" spans="2:59" x14ac:dyDescent="0.15">
      <c r="B57" s="5">
        <v>39939</v>
      </c>
      <c r="C57" s="6">
        <v>356.29039999999998</v>
      </c>
      <c r="D57" s="6">
        <v>9.9</v>
      </c>
      <c r="E57" t="str">
        <f t="shared" si="7"/>
        <v>59572-0405-00</v>
      </c>
      <c r="G57" s="5">
        <v>39939</v>
      </c>
      <c r="H57" s="6">
        <v>356.28820999999999</v>
      </c>
      <c r="I57" s="6">
        <v>9.9</v>
      </c>
      <c r="J57" t="str">
        <f t="shared" si="8"/>
        <v>59572-0405-28</v>
      </c>
      <c r="AF57" s="5">
        <v>39787</v>
      </c>
      <c r="AG57" s="6">
        <v>392.47699999999998</v>
      </c>
      <c r="AH57" s="6">
        <v>4</v>
      </c>
      <c r="AI57" t="str">
        <f t="shared" si="13"/>
        <v>59572-0425-00</v>
      </c>
      <c r="AJ57" s="5">
        <v>39904</v>
      </c>
      <c r="AK57" s="6">
        <v>392.47190000000001</v>
      </c>
      <c r="AL57" s="6">
        <v>0</v>
      </c>
      <c r="AM57" t="str">
        <f t="shared" si="14"/>
        <v>59572-0425-21</v>
      </c>
      <c r="AO57" s="5">
        <v>39939</v>
      </c>
      <c r="AP57" s="6">
        <v>388.65951999999999</v>
      </c>
      <c r="AQ57" s="6">
        <v>2.9</v>
      </c>
      <c r="AR57" t="str">
        <f t="shared" si="15"/>
        <v>59572-0415-21</v>
      </c>
      <c r="AT57" s="5">
        <v>39939</v>
      </c>
      <c r="AU57" s="6">
        <v>388.65969999999999</v>
      </c>
      <c r="AV57" s="6">
        <v>2.9</v>
      </c>
      <c r="AW57" t="str">
        <f t="shared" si="16"/>
        <v>59572-0415-00</v>
      </c>
      <c r="AY57" s="5">
        <v>39939</v>
      </c>
      <c r="AZ57" s="6">
        <v>372.8621</v>
      </c>
      <c r="BA57" s="6">
        <v>9.9</v>
      </c>
      <c r="BB57" t="str">
        <f t="shared" si="17"/>
        <v>59572-0410-00</v>
      </c>
      <c r="BD57" s="5">
        <v>39939</v>
      </c>
      <c r="BE57" s="6">
        <v>372.86820999999998</v>
      </c>
      <c r="BF57" s="6">
        <v>9.9</v>
      </c>
      <c r="BG57" t="str">
        <f t="shared" si="18"/>
        <v>59572-0410-28</v>
      </c>
    </row>
    <row r="58" spans="2:59" x14ac:dyDescent="0.15">
      <c r="B58" s="5">
        <v>39787</v>
      </c>
      <c r="C58" s="6">
        <v>324.07709999999997</v>
      </c>
      <c r="D58" s="6">
        <v>4</v>
      </c>
      <c r="E58" t="str">
        <f t="shared" si="7"/>
        <v>59572-0405-00</v>
      </c>
      <c r="G58" s="5">
        <v>39904</v>
      </c>
      <c r="H58" s="6">
        <v>324.07213999999999</v>
      </c>
      <c r="I58" s="6">
        <v>0</v>
      </c>
      <c r="J58" t="str">
        <f t="shared" si="8"/>
        <v>59572-0405-28</v>
      </c>
      <c r="AF58" s="5">
        <v>39451</v>
      </c>
      <c r="AG58" s="6">
        <v>377.3818</v>
      </c>
      <c r="AH58" s="6">
        <v>3.5</v>
      </c>
      <c r="AI58" t="str">
        <f t="shared" si="13"/>
        <v>59572-0425-00</v>
      </c>
      <c r="AO58" s="5">
        <v>39787</v>
      </c>
      <c r="AP58" s="6">
        <v>377.55952000000002</v>
      </c>
      <c r="AQ58" s="6">
        <v>4</v>
      </c>
      <c r="AR58" t="str">
        <f t="shared" si="15"/>
        <v>59572-0415-21</v>
      </c>
      <c r="AT58" s="5">
        <v>39787</v>
      </c>
      <c r="AU58" s="6">
        <v>377.55950000000001</v>
      </c>
      <c r="AV58" s="6">
        <v>4</v>
      </c>
      <c r="AW58" t="str">
        <f t="shared" si="16"/>
        <v>59572-0415-00</v>
      </c>
      <c r="AY58" s="5">
        <v>39787</v>
      </c>
      <c r="AZ58" s="6">
        <v>339.15050000000002</v>
      </c>
      <c r="BA58" s="6">
        <v>4</v>
      </c>
      <c r="BB58" t="str">
        <f t="shared" si="17"/>
        <v>59572-0410-00</v>
      </c>
      <c r="BD58" s="5">
        <v>39904</v>
      </c>
      <c r="BE58" s="6">
        <v>339.15607</v>
      </c>
      <c r="BF58" s="6">
        <v>0</v>
      </c>
      <c r="BG58" t="str">
        <f t="shared" si="18"/>
        <v>59572-0410-28</v>
      </c>
    </row>
    <row r="59" spans="2:59" x14ac:dyDescent="0.15">
      <c r="B59" s="5">
        <v>39451</v>
      </c>
      <c r="C59" s="6">
        <v>311.61270000000002</v>
      </c>
      <c r="D59" s="6">
        <v>9.9</v>
      </c>
      <c r="E59" t="str">
        <f t="shared" si="7"/>
        <v>59572-0405-00</v>
      </c>
      <c r="AF59" s="5">
        <v>39085</v>
      </c>
      <c r="AG59" s="6">
        <v>364.62</v>
      </c>
      <c r="AH59" s="6">
        <v>3</v>
      </c>
      <c r="AI59" t="str">
        <f t="shared" si="13"/>
        <v>59572-0425-00</v>
      </c>
      <c r="AO59" s="5">
        <v>39451</v>
      </c>
      <c r="AP59" s="6">
        <v>363.03762</v>
      </c>
      <c r="AQ59" s="6">
        <v>4.9000000000000004</v>
      </c>
      <c r="AR59" t="str">
        <f t="shared" si="15"/>
        <v>59572-0415-21</v>
      </c>
      <c r="AT59" s="5">
        <v>39451</v>
      </c>
      <c r="AU59" s="6">
        <v>363.03789999999998</v>
      </c>
      <c r="AV59" s="6">
        <v>4.9000000000000004</v>
      </c>
      <c r="AW59" t="str">
        <f t="shared" si="16"/>
        <v>59572-0415-00</v>
      </c>
      <c r="AY59" s="5">
        <v>39451</v>
      </c>
      <c r="AZ59" s="6">
        <v>326.1062</v>
      </c>
      <c r="BA59" s="6">
        <v>9.9</v>
      </c>
      <c r="BB59" t="str">
        <f t="shared" si="17"/>
        <v>59572-0410-00</v>
      </c>
    </row>
    <row r="60" spans="2:59" x14ac:dyDescent="0.15">
      <c r="B60" s="5">
        <v>39085</v>
      </c>
      <c r="C60" s="6">
        <v>283.54199999999997</v>
      </c>
      <c r="D60" s="6">
        <v>9.9</v>
      </c>
      <c r="E60" t="str">
        <f t="shared" si="7"/>
        <v>59572-0405-00</v>
      </c>
      <c r="AF60" s="5">
        <v>38898</v>
      </c>
      <c r="AG60" s="6">
        <v>354</v>
      </c>
      <c r="AH60" s="6">
        <v>0</v>
      </c>
      <c r="AI60" t="str">
        <f t="shared" si="13"/>
        <v>59572-0425-00</v>
      </c>
      <c r="AO60" s="5">
        <v>39085</v>
      </c>
      <c r="AP60" s="6">
        <v>346.08</v>
      </c>
      <c r="AQ60" s="6">
        <v>3</v>
      </c>
      <c r="AR60" t="str">
        <f t="shared" si="15"/>
        <v>59572-0415-21</v>
      </c>
      <c r="AT60" s="5">
        <v>39085</v>
      </c>
      <c r="AU60" s="6">
        <v>346.08</v>
      </c>
      <c r="AV60" s="6">
        <v>3</v>
      </c>
      <c r="AW60" t="str">
        <f t="shared" si="16"/>
        <v>59572-0415-00</v>
      </c>
      <c r="AY60" s="5">
        <v>39085</v>
      </c>
      <c r="AZ60" s="6">
        <v>296.73</v>
      </c>
      <c r="BA60" s="6">
        <v>9.9</v>
      </c>
      <c r="BB60" t="str">
        <f t="shared" si="17"/>
        <v>59572-0410-00</v>
      </c>
    </row>
    <row r="61" spans="2:59" x14ac:dyDescent="0.15">
      <c r="B61" s="5">
        <v>38715</v>
      </c>
      <c r="C61" s="6">
        <v>258</v>
      </c>
      <c r="D61" s="6">
        <v>0</v>
      </c>
      <c r="E61" t="str">
        <f t="shared" si="7"/>
        <v>59572-0405-00</v>
      </c>
      <c r="AO61" s="5">
        <v>38898</v>
      </c>
      <c r="AP61" s="6">
        <v>336</v>
      </c>
      <c r="AQ61" s="6">
        <v>0</v>
      </c>
      <c r="AR61" t="str">
        <f t="shared" si="15"/>
        <v>59572-0415-21</v>
      </c>
      <c r="AT61" s="5">
        <v>38898</v>
      </c>
      <c r="AU61" s="6">
        <v>336</v>
      </c>
      <c r="AV61" s="6">
        <v>0</v>
      </c>
      <c r="AW61" t="str">
        <f t="shared" si="16"/>
        <v>59572-0415-00</v>
      </c>
      <c r="AY61" s="5">
        <v>38715</v>
      </c>
      <c r="AZ61" s="6">
        <v>270</v>
      </c>
      <c r="BA61" s="6">
        <v>0</v>
      </c>
      <c r="BB61" t="str">
        <f t="shared" si="17"/>
        <v>59572-0410-00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1"/>
  <sheetViews>
    <sheetView topLeftCell="A129" zoomScale="120" zoomScaleNormal="120" workbookViewId="0">
      <selection activeCell="F263" sqref="F263"/>
    </sheetView>
  </sheetViews>
  <sheetFormatPr baseColWidth="10" defaultColWidth="8.83203125" defaultRowHeight="13" x14ac:dyDescent="0.15"/>
  <cols>
    <col min="1" max="1" width="15.5" style="4" customWidth="1"/>
    <col min="2" max="3" width="8.83203125" style="7"/>
    <col min="4" max="4" width="13.1640625" bestFit="1" customWidth="1"/>
  </cols>
  <sheetData>
    <row r="1" spans="1:6" x14ac:dyDescent="0.15">
      <c r="A1" s="4" t="str">
        <f>REDBOOKSearchResults!B31</f>
        <v>Product Name: REVLIMID</v>
      </c>
    </row>
    <row r="2" spans="1:6" x14ac:dyDescent="0.15">
      <c r="A2" s="4" t="str">
        <f>REDBOOKSearchResults!B34</f>
        <v>Effective Date</v>
      </c>
      <c r="B2" s="7" t="str">
        <f>REDBOOKSearchResults!C34</f>
        <v>Unit</v>
      </c>
      <c r="C2" s="7" t="str">
        <f>REDBOOKSearchResults!D34</f>
        <v>% Change</v>
      </c>
      <c r="D2" t="str">
        <f>REDBOOKSearchResults!E34</f>
        <v>Identifier</v>
      </c>
      <c r="E2" s="1" t="s">
        <v>113</v>
      </c>
      <c r="F2" s="1" t="s">
        <v>14</v>
      </c>
    </row>
    <row r="3" spans="1:6" x14ac:dyDescent="0.15">
      <c r="A3" s="4">
        <f>REDBOOKSearchResults!B35</f>
        <v>45474</v>
      </c>
      <c r="B3" s="7">
        <f>REDBOOKSearchResults!C35</f>
        <v>1069.8607999999999</v>
      </c>
      <c r="C3" s="7">
        <f>REDBOOKSearchResults!D35</f>
        <v>7</v>
      </c>
      <c r="D3" t="str">
        <f>REDBOOKSearchResults!E35</f>
        <v>59572-0405-00</v>
      </c>
      <c r="E3" t="str">
        <f>INDEX(REDBOOKSearchResults!$N$2:$N$13, MATCH(D3, REDBOOKSearchResults!$L$2:$L$13, 0))</f>
        <v>5 mg</v>
      </c>
      <c r="F3" t="str">
        <f>INDEX(REDBOOKSearchResults!$A$1:$AK$100, MATCH($D3, REDBOOKSearchResults!$L$1:$L$100, 0), MATCH(F$2, REDBOOKSearchResults!$1:$1, 0))</f>
        <v>100s ea</v>
      </c>
    </row>
    <row r="4" spans="1:6" x14ac:dyDescent="0.15">
      <c r="A4" s="4">
        <f>REDBOOKSearchResults!B36</f>
        <v>44562</v>
      </c>
      <c r="B4" s="7">
        <f>REDBOOKSearchResults!C36</f>
        <v>999.86990000000003</v>
      </c>
      <c r="C4" s="7">
        <f>REDBOOKSearchResults!D36</f>
        <v>4.5</v>
      </c>
      <c r="D4" t="str">
        <f>REDBOOKSearchResults!E36</f>
        <v>59572-0405-00</v>
      </c>
      <c r="E4" t="str">
        <f>INDEX(REDBOOKSearchResults!$N$2:$N$13, MATCH(D4, REDBOOKSearchResults!$L$2:$L$13, 0))</f>
        <v>5 mg</v>
      </c>
      <c r="F4" t="str">
        <f>INDEX(REDBOOKSearchResults!$A$1:$AK$100, MATCH($D4, REDBOOKSearchResults!$L$1:$L$100, 0), MATCH(F$2, REDBOOKSearchResults!$1:$1, 0))</f>
        <v>100s ea</v>
      </c>
    </row>
    <row r="5" spans="1:6" x14ac:dyDescent="0.15">
      <c r="A5" s="4">
        <f>REDBOOKSearchResults!B37</f>
        <v>44197</v>
      </c>
      <c r="B5" s="7">
        <f>REDBOOKSearchResults!C37</f>
        <v>956.81330000000003</v>
      </c>
      <c r="C5" s="7">
        <f>REDBOOKSearchResults!D37</f>
        <v>4.5</v>
      </c>
      <c r="D5" t="str">
        <f>REDBOOKSearchResults!E37</f>
        <v>59572-0405-00</v>
      </c>
      <c r="E5" t="str">
        <f>INDEX(REDBOOKSearchResults!$N$2:$N$13, MATCH(D5, REDBOOKSearchResults!$L$2:$L$13, 0))</f>
        <v>5 mg</v>
      </c>
      <c r="F5" t="str">
        <f>INDEX(REDBOOKSearchResults!$A$1:$AK$100, MATCH($D5, REDBOOKSearchResults!$L$1:$L$100, 0), MATCH(F$2, REDBOOKSearchResults!$1:$1, 0))</f>
        <v>100s ea</v>
      </c>
    </row>
    <row r="6" spans="1:6" x14ac:dyDescent="0.15">
      <c r="A6" s="4">
        <f>REDBOOKSearchResults!B38</f>
        <v>43831</v>
      </c>
      <c r="B6" s="7">
        <f>REDBOOKSearchResults!C38</f>
        <v>915.61080000000004</v>
      </c>
      <c r="C6" s="7">
        <f>REDBOOKSearchResults!D38</f>
        <v>6</v>
      </c>
      <c r="D6" t="str">
        <f>REDBOOKSearchResults!E38</f>
        <v>59572-0405-00</v>
      </c>
      <c r="E6" t="str">
        <f>INDEX(REDBOOKSearchResults!$N$2:$N$13, MATCH(D6, REDBOOKSearchResults!$L$2:$L$13, 0))</f>
        <v>5 mg</v>
      </c>
      <c r="F6" t="str">
        <f>INDEX(REDBOOKSearchResults!$A$1:$AK$100, MATCH($D6, REDBOOKSearchResults!$L$1:$L$100, 0), MATCH(F$2, REDBOOKSearchResults!$1:$1, 0))</f>
        <v>100s ea</v>
      </c>
    </row>
    <row r="7" spans="1:6" x14ac:dyDescent="0.15">
      <c r="A7" s="4">
        <f>REDBOOKSearchResults!B39</f>
        <v>43468</v>
      </c>
      <c r="B7" s="7">
        <f>REDBOOKSearchResults!C39</f>
        <v>863.78380000000004</v>
      </c>
      <c r="C7" s="7">
        <f>REDBOOKSearchResults!D39</f>
        <v>3.5</v>
      </c>
      <c r="D7" t="str">
        <f>REDBOOKSearchResults!E39</f>
        <v>59572-0405-00</v>
      </c>
      <c r="E7" t="str">
        <f>INDEX(REDBOOKSearchResults!$N$2:$N$13, MATCH(D7, REDBOOKSearchResults!$L$2:$L$13, 0))</f>
        <v>5 mg</v>
      </c>
      <c r="F7" t="str">
        <f>INDEX(REDBOOKSearchResults!$A$1:$AK$100, MATCH($D7, REDBOOKSearchResults!$L$1:$L$100, 0), MATCH(F$2, REDBOOKSearchResults!$1:$1, 0))</f>
        <v>100s ea</v>
      </c>
    </row>
    <row r="8" spans="1:6" x14ac:dyDescent="0.15">
      <c r="A8" s="4">
        <f>REDBOOKSearchResults!B40</f>
        <v>43291</v>
      </c>
      <c r="B8" s="7">
        <f>REDBOOKSearchResults!C40</f>
        <v>834.57380000000001</v>
      </c>
      <c r="C8" s="7">
        <f>REDBOOKSearchResults!D40</f>
        <v>5</v>
      </c>
      <c r="D8" t="str">
        <f>REDBOOKSearchResults!E40</f>
        <v>59572-0405-00</v>
      </c>
      <c r="E8" t="str">
        <f>INDEX(REDBOOKSearchResults!$N$2:$N$13, MATCH(D8, REDBOOKSearchResults!$L$2:$L$13, 0))</f>
        <v>5 mg</v>
      </c>
      <c r="F8" t="str">
        <f>INDEX(REDBOOKSearchResults!$A$1:$AK$100, MATCH($D8, REDBOOKSearchResults!$L$1:$L$100, 0), MATCH(F$2, REDBOOKSearchResults!$1:$1, 0))</f>
        <v>100s ea</v>
      </c>
    </row>
    <row r="9" spans="1:6" x14ac:dyDescent="0.15">
      <c r="A9" s="4">
        <f>REDBOOKSearchResults!B41</f>
        <v>43028</v>
      </c>
      <c r="B9" s="7">
        <f>REDBOOKSearchResults!C41</f>
        <v>794.83209999999997</v>
      </c>
      <c r="C9" s="7">
        <f>REDBOOKSearchResults!D41</f>
        <v>9</v>
      </c>
      <c r="D9" t="str">
        <f>REDBOOKSearchResults!E41</f>
        <v>59572-0405-00</v>
      </c>
      <c r="E9" t="str">
        <f>INDEX(REDBOOKSearchResults!$N$2:$N$13, MATCH(D9, REDBOOKSearchResults!$L$2:$L$13, 0))</f>
        <v>5 mg</v>
      </c>
      <c r="F9" t="str">
        <f>INDEX(REDBOOKSearchResults!$A$1:$AK$100, MATCH($D9, REDBOOKSearchResults!$L$1:$L$100, 0), MATCH(F$2, REDBOOKSearchResults!$1:$1, 0))</f>
        <v>100s ea</v>
      </c>
    </row>
    <row r="10" spans="1:6" x14ac:dyDescent="0.15">
      <c r="A10" s="4">
        <f>REDBOOKSearchResults!B42</f>
        <v>42927</v>
      </c>
      <c r="B10" s="7">
        <f>REDBOOKSearchResults!C42</f>
        <v>729.2038</v>
      </c>
      <c r="C10" s="7">
        <f>REDBOOKSearchResults!D42</f>
        <v>1.8</v>
      </c>
      <c r="D10" t="str">
        <f>REDBOOKSearchResults!E42</f>
        <v>59572-0405-00</v>
      </c>
      <c r="E10" t="str">
        <f>INDEX(REDBOOKSearchResults!$N$2:$N$13, MATCH(D10, REDBOOKSearchResults!$L$2:$L$13, 0))</f>
        <v>5 mg</v>
      </c>
      <c r="F10" t="str">
        <f>INDEX(REDBOOKSearchResults!$A$1:$AK$100, MATCH($D10, REDBOOKSearchResults!$L$1:$L$100, 0), MATCH(F$2, REDBOOKSearchResults!$1:$1, 0))</f>
        <v>100s ea</v>
      </c>
    </row>
    <row r="11" spans="1:6" x14ac:dyDescent="0.15">
      <c r="A11" s="4">
        <f>REDBOOKSearchResults!B43</f>
        <v>42746</v>
      </c>
      <c r="B11" s="7">
        <f>REDBOOKSearchResults!C43</f>
        <v>716.66219999999998</v>
      </c>
      <c r="C11" s="7">
        <f>REDBOOKSearchResults!D43</f>
        <v>8</v>
      </c>
      <c r="D11" t="str">
        <f>REDBOOKSearchResults!E43</f>
        <v>59572-0405-00</v>
      </c>
      <c r="E11" t="str">
        <f>INDEX(REDBOOKSearchResults!$N$2:$N$13, MATCH(D11, REDBOOKSearchResults!$L$2:$L$13, 0))</f>
        <v>5 mg</v>
      </c>
      <c r="F11" t="str">
        <f>INDEX(REDBOOKSearchResults!$A$1:$AK$100, MATCH($D11, REDBOOKSearchResults!$L$1:$L$100, 0), MATCH(F$2, REDBOOKSearchResults!$1:$1, 0))</f>
        <v>100s ea</v>
      </c>
    </row>
    <row r="12" spans="1:6" x14ac:dyDescent="0.15">
      <c r="A12" s="4">
        <f>REDBOOKSearchResults!B44</f>
        <v>42602</v>
      </c>
      <c r="B12" s="7">
        <f>REDBOOKSearchResults!C44</f>
        <v>663.57619999999997</v>
      </c>
      <c r="C12" s="7">
        <f>REDBOOKSearchResults!D44</f>
        <v>3</v>
      </c>
      <c r="D12" t="str">
        <f>REDBOOKSearchResults!E44</f>
        <v>59572-0405-00</v>
      </c>
      <c r="E12" t="str">
        <f>INDEX(REDBOOKSearchResults!$N$2:$N$13, MATCH(D12, REDBOOKSearchResults!$L$2:$L$13, 0))</f>
        <v>5 mg</v>
      </c>
      <c r="F12" t="str">
        <f>INDEX(REDBOOKSearchResults!$A$1:$AK$100, MATCH($D12, REDBOOKSearchResults!$L$1:$L$100, 0), MATCH(F$2, REDBOOKSearchResults!$1:$1, 0))</f>
        <v>100s ea</v>
      </c>
    </row>
    <row r="13" spans="1:6" x14ac:dyDescent="0.15">
      <c r="A13" s="4">
        <f>REDBOOKSearchResults!B45</f>
        <v>42439</v>
      </c>
      <c r="B13" s="7">
        <f>REDBOOKSearchResults!C45</f>
        <v>644.24869999999999</v>
      </c>
      <c r="C13" s="7">
        <f>REDBOOKSearchResults!D45</f>
        <v>6.8</v>
      </c>
      <c r="D13" t="str">
        <f>REDBOOKSearchResults!E45</f>
        <v>59572-0405-00</v>
      </c>
      <c r="E13" t="str">
        <f>INDEX(REDBOOKSearchResults!$N$2:$N$13, MATCH(D13, REDBOOKSearchResults!$L$2:$L$13, 0))</f>
        <v>5 mg</v>
      </c>
      <c r="F13" t="str">
        <f>INDEX(REDBOOKSearchResults!$A$1:$AK$100, MATCH($D13, REDBOOKSearchResults!$L$1:$L$100, 0), MATCH(F$2, REDBOOKSearchResults!$1:$1, 0))</f>
        <v>100s ea</v>
      </c>
    </row>
    <row r="14" spans="1:6" x14ac:dyDescent="0.15">
      <c r="A14" s="4">
        <f>REDBOOKSearchResults!B46</f>
        <v>42279</v>
      </c>
      <c r="B14" s="7">
        <f>REDBOOKSearchResults!C46</f>
        <v>603.22910000000002</v>
      </c>
      <c r="C14" s="7">
        <f>REDBOOKSearchResults!D46</f>
        <v>4</v>
      </c>
      <c r="D14" t="str">
        <f>REDBOOKSearchResults!E46</f>
        <v>59572-0405-00</v>
      </c>
      <c r="E14" t="str">
        <f>INDEX(REDBOOKSearchResults!$N$2:$N$13, MATCH(D14, REDBOOKSearchResults!$L$2:$L$13, 0))</f>
        <v>5 mg</v>
      </c>
      <c r="F14" t="str">
        <f>INDEX(REDBOOKSearchResults!$A$1:$AK$100, MATCH($D14, REDBOOKSearchResults!$L$1:$L$100, 0), MATCH(F$2, REDBOOKSearchResults!$1:$1, 0))</f>
        <v>100s ea</v>
      </c>
    </row>
    <row r="15" spans="1:6" x14ac:dyDescent="0.15">
      <c r="A15" s="4">
        <f>REDBOOKSearchResults!B47</f>
        <v>42180</v>
      </c>
      <c r="B15" s="7">
        <f>REDBOOKSearchResults!C47</f>
        <v>580.02790000000005</v>
      </c>
      <c r="C15" s="7">
        <f>REDBOOKSearchResults!D47</f>
        <v>3</v>
      </c>
      <c r="D15" t="str">
        <f>REDBOOKSearchResults!E47</f>
        <v>59572-0405-00</v>
      </c>
      <c r="E15" t="str">
        <f>INDEX(REDBOOKSearchResults!$N$2:$N$13, MATCH(D15, REDBOOKSearchResults!$L$2:$L$13, 0))</f>
        <v>5 mg</v>
      </c>
      <c r="F15" t="str">
        <f>INDEX(REDBOOKSearchResults!$A$1:$AK$100, MATCH($D15, REDBOOKSearchResults!$L$1:$L$100, 0), MATCH(F$2, REDBOOKSearchResults!$1:$1, 0))</f>
        <v>100s ea</v>
      </c>
    </row>
    <row r="16" spans="1:6" x14ac:dyDescent="0.15">
      <c r="A16" s="4">
        <f>REDBOOKSearchResults!B48</f>
        <v>41996</v>
      </c>
      <c r="B16" s="7">
        <f>REDBOOKSearchResults!C48</f>
        <v>563.13390000000004</v>
      </c>
      <c r="C16" s="7">
        <f>REDBOOKSearchResults!D48</f>
        <v>3</v>
      </c>
      <c r="D16" t="str">
        <f>REDBOOKSearchResults!E48</f>
        <v>59572-0405-00</v>
      </c>
      <c r="E16" t="str">
        <f>INDEX(REDBOOKSearchResults!$N$2:$N$13, MATCH(D16, REDBOOKSearchResults!$L$2:$L$13, 0))</f>
        <v>5 mg</v>
      </c>
      <c r="F16" t="str">
        <f>INDEX(REDBOOKSearchResults!$A$1:$AK$100, MATCH($D16, REDBOOKSearchResults!$L$1:$L$100, 0), MATCH(F$2, REDBOOKSearchResults!$1:$1, 0))</f>
        <v>100s ea</v>
      </c>
    </row>
    <row r="17" spans="1:6" x14ac:dyDescent="0.15">
      <c r="A17" s="4">
        <f>REDBOOKSearchResults!B49</f>
        <v>41885</v>
      </c>
      <c r="B17" s="7">
        <f>REDBOOKSearchResults!C49</f>
        <v>546.73199999999997</v>
      </c>
      <c r="C17" s="7">
        <f>REDBOOKSearchResults!D49</f>
        <v>6.2</v>
      </c>
      <c r="D17" t="str">
        <f>REDBOOKSearchResults!E49</f>
        <v>59572-0405-00</v>
      </c>
      <c r="E17" t="str">
        <f>INDEX(REDBOOKSearchResults!$N$2:$N$13, MATCH(D17, REDBOOKSearchResults!$L$2:$L$13, 0))</f>
        <v>5 mg</v>
      </c>
      <c r="F17" t="str">
        <f>INDEX(REDBOOKSearchResults!$A$1:$AK$100, MATCH($D17, REDBOOKSearchResults!$L$1:$L$100, 0), MATCH(F$2, REDBOOKSearchResults!$1:$1, 0))</f>
        <v>100s ea</v>
      </c>
    </row>
    <row r="18" spans="1:6" x14ac:dyDescent="0.15">
      <c r="A18" s="4">
        <f>REDBOOKSearchResults!B50</f>
        <v>41704</v>
      </c>
      <c r="B18" s="7">
        <f>REDBOOKSearchResults!C50</f>
        <v>514.6721</v>
      </c>
      <c r="C18" s="7">
        <f>REDBOOKSearchResults!D50</f>
        <v>4</v>
      </c>
      <c r="D18" t="str">
        <f>REDBOOKSearchResults!E50</f>
        <v>59572-0405-00</v>
      </c>
      <c r="E18" t="str">
        <f>INDEX(REDBOOKSearchResults!$N$2:$N$13, MATCH(D18, REDBOOKSearchResults!$L$2:$L$13, 0))</f>
        <v>5 mg</v>
      </c>
      <c r="F18" t="str">
        <f>INDEX(REDBOOKSearchResults!$A$1:$AK$100, MATCH($D18, REDBOOKSearchResults!$L$1:$L$100, 0), MATCH(F$2, REDBOOKSearchResults!$1:$1, 0))</f>
        <v>100s ea</v>
      </c>
    </row>
    <row r="19" spans="1:6" x14ac:dyDescent="0.15">
      <c r="A19" s="4">
        <f>REDBOOKSearchResults!B51</f>
        <v>41548</v>
      </c>
      <c r="B19" s="7">
        <f>REDBOOKSearchResults!C51</f>
        <v>494.87700000000001</v>
      </c>
      <c r="C19" s="7">
        <f>REDBOOKSearchResults!D51</f>
        <v>3</v>
      </c>
      <c r="D19" t="str">
        <f>REDBOOKSearchResults!E51</f>
        <v>59572-0405-00</v>
      </c>
      <c r="E19" t="str">
        <f>INDEX(REDBOOKSearchResults!$N$2:$N$13, MATCH(D19, REDBOOKSearchResults!$L$2:$L$13, 0))</f>
        <v>5 mg</v>
      </c>
      <c r="F19" t="str">
        <f>INDEX(REDBOOKSearchResults!$A$1:$AK$100, MATCH($D19, REDBOOKSearchResults!$L$1:$L$100, 0), MATCH(F$2, REDBOOKSearchResults!$1:$1, 0))</f>
        <v>100s ea</v>
      </c>
    </row>
    <row r="20" spans="1:6" x14ac:dyDescent="0.15">
      <c r="A20" s="4">
        <f>REDBOOKSearchResults!B52</f>
        <v>41363</v>
      </c>
      <c r="B20" s="7">
        <f>REDBOOKSearchResults!C52</f>
        <v>480.4631</v>
      </c>
      <c r="C20" s="7">
        <f>REDBOOKSearchResults!D52</f>
        <v>3</v>
      </c>
      <c r="D20" t="str">
        <f>REDBOOKSearchResults!E52</f>
        <v>59572-0405-00</v>
      </c>
      <c r="E20" t="str">
        <f>INDEX(REDBOOKSearchResults!$N$2:$N$13, MATCH(D20, REDBOOKSearchResults!$L$2:$L$13, 0))</f>
        <v>5 mg</v>
      </c>
      <c r="F20" t="str">
        <f>INDEX(REDBOOKSearchResults!$A$1:$AK$100, MATCH($D20, REDBOOKSearchResults!$L$1:$L$100, 0), MATCH(F$2, REDBOOKSearchResults!$1:$1, 0))</f>
        <v>100s ea</v>
      </c>
    </row>
    <row r="21" spans="1:6" x14ac:dyDescent="0.15">
      <c r="A21" s="4">
        <f>REDBOOKSearchResults!B53</f>
        <v>41214</v>
      </c>
      <c r="B21" s="7">
        <f>REDBOOKSearchResults!C53</f>
        <v>466.46910000000003</v>
      </c>
      <c r="C21" s="7">
        <f>REDBOOKSearchResults!D53</f>
        <v>6</v>
      </c>
      <c r="D21" t="str">
        <f>REDBOOKSearchResults!E53</f>
        <v>59572-0405-00</v>
      </c>
      <c r="E21" t="str">
        <f>INDEX(REDBOOKSearchResults!$N$2:$N$13, MATCH(D21, REDBOOKSearchResults!$L$2:$L$13, 0))</f>
        <v>5 mg</v>
      </c>
      <c r="F21" t="str">
        <f>INDEX(REDBOOKSearchResults!$A$1:$AK$100, MATCH($D21, REDBOOKSearchResults!$L$1:$L$100, 0), MATCH(F$2, REDBOOKSearchResults!$1:$1, 0))</f>
        <v>100s ea</v>
      </c>
    </row>
    <row r="22" spans="1:6" x14ac:dyDescent="0.15">
      <c r="A22" s="4">
        <f>REDBOOKSearchResults!B54</f>
        <v>40876</v>
      </c>
      <c r="B22" s="7">
        <f>REDBOOKSearchResults!C54</f>
        <v>440.06509999999997</v>
      </c>
      <c r="C22" s="7">
        <f>REDBOOKSearchResults!D54</f>
        <v>6</v>
      </c>
      <c r="D22" t="str">
        <f>REDBOOKSearchResults!E54</f>
        <v>59572-0405-00</v>
      </c>
      <c r="E22" t="str">
        <f>INDEX(REDBOOKSearchResults!$N$2:$N$13, MATCH(D22, REDBOOKSearchResults!$L$2:$L$13, 0))</f>
        <v>5 mg</v>
      </c>
      <c r="F22" t="str">
        <f>INDEX(REDBOOKSearchResults!$A$1:$AK$100, MATCH($D22, REDBOOKSearchResults!$L$1:$L$100, 0), MATCH(F$2, REDBOOKSearchResults!$1:$1, 0))</f>
        <v>100s ea</v>
      </c>
    </row>
    <row r="23" spans="1:6" x14ac:dyDescent="0.15">
      <c r="A23" s="4">
        <f>REDBOOKSearchResults!B55</f>
        <v>40523</v>
      </c>
      <c r="B23" s="7">
        <f>REDBOOKSearchResults!C55</f>
        <v>415.15570000000002</v>
      </c>
      <c r="C23" s="7">
        <f>REDBOOKSearchResults!D55</f>
        <v>7</v>
      </c>
      <c r="D23" t="str">
        <f>REDBOOKSearchResults!E55</f>
        <v>59572-0405-00</v>
      </c>
      <c r="E23" t="str">
        <f>INDEX(REDBOOKSearchResults!$N$2:$N$13, MATCH(D23, REDBOOKSearchResults!$L$2:$L$13, 0))</f>
        <v>5 mg</v>
      </c>
      <c r="F23" t="str">
        <f>INDEX(REDBOOKSearchResults!$A$1:$AK$100, MATCH($D23, REDBOOKSearchResults!$L$1:$L$100, 0), MATCH(F$2, REDBOOKSearchResults!$1:$1, 0))</f>
        <v>100s ea</v>
      </c>
    </row>
    <row r="24" spans="1:6" x14ac:dyDescent="0.15">
      <c r="A24" s="4">
        <f>REDBOOKSearchResults!B56</f>
        <v>40183</v>
      </c>
      <c r="B24" s="7">
        <f>REDBOOKSearchResults!C56</f>
        <v>388.00029999999998</v>
      </c>
      <c r="C24" s="7">
        <f>REDBOOKSearchResults!D56</f>
        <v>8.9</v>
      </c>
      <c r="D24" t="str">
        <f>REDBOOKSearchResults!E56</f>
        <v>59572-0405-00</v>
      </c>
      <c r="E24" t="str">
        <f>INDEX(REDBOOKSearchResults!$N$2:$N$13, MATCH(D24, REDBOOKSearchResults!$L$2:$L$13, 0))</f>
        <v>5 mg</v>
      </c>
      <c r="F24" t="str">
        <f>INDEX(REDBOOKSearchResults!$A$1:$AK$100, MATCH($D24, REDBOOKSearchResults!$L$1:$L$100, 0), MATCH(F$2, REDBOOKSearchResults!$1:$1, 0))</f>
        <v>100s ea</v>
      </c>
    </row>
    <row r="25" spans="1:6" x14ac:dyDescent="0.15">
      <c r="A25" s="4">
        <f>REDBOOKSearchResults!B57</f>
        <v>39939</v>
      </c>
      <c r="B25" s="7">
        <f>REDBOOKSearchResults!C57</f>
        <v>356.29039999999998</v>
      </c>
      <c r="C25" s="7">
        <f>REDBOOKSearchResults!D57</f>
        <v>9.9</v>
      </c>
      <c r="D25" t="str">
        <f>REDBOOKSearchResults!E57</f>
        <v>59572-0405-00</v>
      </c>
      <c r="E25" t="str">
        <f>INDEX(REDBOOKSearchResults!$N$2:$N$13, MATCH(D25, REDBOOKSearchResults!$L$2:$L$13, 0))</f>
        <v>5 mg</v>
      </c>
      <c r="F25" t="str">
        <f>INDEX(REDBOOKSearchResults!$A$1:$AK$100, MATCH($D25, REDBOOKSearchResults!$L$1:$L$100, 0), MATCH(F$2, REDBOOKSearchResults!$1:$1, 0))</f>
        <v>100s ea</v>
      </c>
    </row>
    <row r="26" spans="1:6" x14ac:dyDescent="0.15">
      <c r="A26" s="4">
        <f>REDBOOKSearchResults!B58</f>
        <v>39787</v>
      </c>
      <c r="B26" s="7">
        <f>REDBOOKSearchResults!C58</f>
        <v>324.07709999999997</v>
      </c>
      <c r="C26" s="7">
        <f>REDBOOKSearchResults!D58</f>
        <v>4</v>
      </c>
      <c r="D26" t="str">
        <f>REDBOOKSearchResults!E58</f>
        <v>59572-0405-00</v>
      </c>
      <c r="E26" t="str">
        <f>INDEX(REDBOOKSearchResults!$N$2:$N$13, MATCH(D26, REDBOOKSearchResults!$L$2:$L$13, 0))</f>
        <v>5 mg</v>
      </c>
      <c r="F26" t="str">
        <f>INDEX(REDBOOKSearchResults!$A$1:$AK$100, MATCH($D26, REDBOOKSearchResults!$L$1:$L$100, 0), MATCH(F$2, REDBOOKSearchResults!$1:$1, 0))</f>
        <v>100s ea</v>
      </c>
    </row>
    <row r="27" spans="1:6" x14ac:dyDescent="0.15">
      <c r="A27" s="4">
        <f>REDBOOKSearchResults!B59</f>
        <v>39451</v>
      </c>
      <c r="B27" s="7">
        <f>REDBOOKSearchResults!C59</f>
        <v>311.61270000000002</v>
      </c>
      <c r="C27" s="7">
        <f>REDBOOKSearchResults!D59</f>
        <v>9.9</v>
      </c>
      <c r="D27" t="str">
        <f>REDBOOKSearchResults!E59</f>
        <v>59572-0405-00</v>
      </c>
      <c r="E27" t="str">
        <f>INDEX(REDBOOKSearchResults!$N$2:$N$13, MATCH(D27, REDBOOKSearchResults!$L$2:$L$13, 0))</f>
        <v>5 mg</v>
      </c>
      <c r="F27" t="str">
        <f>INDEX(REDBOOKSearchResults!$A$1:$AK$100, MATCH($D27, REDBOOKSearchResults!$L$1:$L$100, 0), MATCH(F$2, REDBOOKSearchResults!$1:$1, 0))</f>
        <v>100s ea</v>
      </c>
    </row>
    <row r="28" spans="1:6" x14ac:dyDescent="0.15">
      <c r="A28" s="4">
        <f>REDBOOKSearchResults!B60</f>
        <v>39085</v>
      </c>
      <c r="B28" s="7">
        <f>REDBOOKSearchResults!C60</f>
        <v>283.54199999999997</v>
      </c>
      <c r="C28" s="7">
        <f>REDBOOKSearchResults!D60</f>
        <v>9.9</v>
      </c>
      <c r="D28" t="str">
        <f>REDBOOKSearchResults!E60</f>
        <v>59572-0405-00</v>
      </c>
      <c r="E28" t="str">
        <f>INDEX(REDBOOKSearchResults!$N$2:$N$13, MATCH(D28, REDBOOKSearchResults!$L$2:$L$13, 0))</f>
        <v>5 mg</v>
      </c>
      <c r="F28" t="str">
        <f>INDEX(REDBOOKSearchResults!$A$1:$AK$100, MATCH($D28, REDBOOKSearchResults!$L$1:$L$100, 0), MATCH(F$2, REDBOOKSearchResults!$1:$1, 0))</f>
        <v>100s ea</v>
      </c>
    </row>
    <row r="29" spans="1:6" x14ac:dyDescent="0.15">
      <c r="A29" s="4">
        <f>REDBOOKSearchResults!B61</f>
        <v>38715</v>
      </c>
      <c r="B29" s="7">
        <f>REDBOOKSearchResults!C61</f>
        <v>258</v>
      </c>
      <c r="C29" s="7">
        <f>REDBOOKSearchResults!D61</f>
        <v>0</v>
      </c>
      <c r="D29" t="str">
        <f>REDBOOKSearchResults!E61</f>
        <v>59572-0405-00</v>
      </c>
      <c r="E29" t="str">
        <f>INDEX(REDBOOKSearchResults!$N$2:$N$13, MATCH(D29, REDBOOKSearchResults!$L$2:$L$13, 0))</f>
        <v>5 mg</v>
      </c>
      <c r="F29" t="str">
        <f>INDEX(REDBOOKSearchResults!$A$1:$AK$100, MATCH($D29, REDBOOKSearchResults!$L$1:$L$100, 0), MATCH(F$2, REDBOOKSearchResults!$1:$1, 0))</f>
        <v>100s ea</v>
      </c>
    </row>
    <row r="30" spans="1:6" x14ac:dyDescent="0.15">
      <c r="A30" s="4">
        <f>REDBOOKSearchResults!G35</f>
        <v>45474</v>
      </c>
      <c r="B30" s="7">
        <f>REDBOOKSearchResults!H35</f>
        <v>1069.8599999999999</v>
      </c>
      <c r="C30" s="7">
        <f>REDBOOKSearchResults!I35</f>
        <v>7</v>
      </c>
      <c r="D30" s="4" t="str">
        <f>REDBOOKSearchResults!J35</f>
        <v>59572-0405-28</v>
      </c>
      <c r="E30" t="str">
        <f>INDEX(REDBOOKSearchResults!$N$2:$N$13, MATCH(D30, REDBOOKSearchResults!$L$2:$L$13, 0))</f>
        <v>5 mg</v>
      </c>
      <c r="F30" t="str">
        <f>INDEX(REDBOOKSearchResults!$A$1:$AK$100, MATCH($D30, REDBOOKSearchResults!$L$1:$L$100, 0), MATCH(F$2, REDBOOKSearchResults!$1:$1, 0))</f>
        <v>28s ea</v>
      </c>
    </row>
    <row r="31" spans="1:6" x14ac:dyDescent="0.15">
      <c r="A31" s="4">
        <f>REDBOOKSearchResults!G36</f>
        <v>44562</v>
      </c>
      <c r="B31" s="7">
        <f>REDBOOKSearchResults!H36</f>
        <v>999.86928999999998</v>
      </c>
      <c r="C31" s="7">
        <f>REDBOOKSearchResults!I36</f>
        <v>4.5</v>
      </c>
      <c r="D31" s="4" t="str">
        <f>REDBOOKSearchResults!J36</f>
        <v>59572-0405-28</v>
      </c>
      <c r="E31" t="str">
        <f>INDEX(REDBOOKSearchResults!$N$2:$N$13, MATCH(D31, REDBOOKSearchResults!$L$2:$L$13, 0))</f>
        <v>5 mg</v>
      </c>
      <c r="F31" t="str">
        <f>INDEX(REDBOOKSearchResults!$A$1:$AK$100, MATCH($D31, REDBOOKSearchResults!$L$1:$L$100, 0), MATCH(F$2, REDBOOKSearchResults!$1:$1, 0))</f>
        <v>28s ea</v>
      </c>
    </row>
    <row r="32" spans="1:6" x14ac:dyDescent="0.15">
      <c r="A32" s="4">
        <f>REDBOOKSearchResults!G37</f>
        <v>44197</v>
      </c>
      <c r="B32" s="7">
        <f>REDBOOKSearchResults!H37</f>
        <v>956.81286</v>
      </c>
      <c r="C32" s="7">
        <f>REDBOOKSearchResults!I37</f>
        <v>4.5</v>
      </c>
      <c r="D32" s="4" t="str">
        <f>REDBOOKSearchResults!J37</f>
        <v>59572-0405-28</v>
      </c>
      <c r="E32" t="str">
        <f>INDEX(REDBOOKSearchResults!$N$2:$N$13, MATCH(D32, REDBOOKSearchResults!$L$2:$L$13, 0))</f>
        <v>5 mg</v>
      </c>
      <c r="F32" t="str">
        <f>INDEX(REDBOOKSearchResults!$A$1:$AK$100, MATCH($D32, REDBOOKSearchResults!$L$1:$L$100, 0), MATCH(F$2, REDBOOKSearchResults!$1:$1, 0))</f>
        <v>28s ea</v>
      </c>
    </row>
    <row r="33" spans="1:6" x14ac:dyDescent="0.15">
      <c r="A33" s="4">
        <f>REDBOOKSearchResults!G38</f>
        <v>43831</v>
      </c>
      <c r="B33" s="7">
        <f>REDBOOKSearchResults!H38</f>
        <v>915.61036000000001</v>
      </c>
      <c r="C33" s="7">
        <f>REDBOOKSearchResults!I38</f>
        <v>6</v>
      </c>
      <c r="D33" s="4" t="str">
        <f>REDBOOKSearchResults!J38</f>
        <v>59572-0405-28</v>
      </c>
      <c r="E33" t="str">
        <f>INDEX(REDBOOKSearchResults!$N$2:$N$13, MATCH(D33, REDBOOKSearchResults!$L$2:$L$13, 0))</f>
        <v>5 mg</v>
      </c>
      <c r="F33" t="str">
        <f>INDEX(REDBOOKSearchResults!$A$1:$AK$100, MATCH($D33, REDBOOKSearchResults!$L$1:$L$100, 0), MATCH(F$2, REDBOOKSearchResults!$1:$1, 0))</f>
        <v>28s ea</v>
      </c>
    </row>
    <row r="34" spans="1:6" x14ac:dyDescent="0.15">
      <c r="A34" s="4">
        <f>REDBOOKSearchResults!G39</f>
        <v>43468</v>
      </c>
      <c r="B34" s="7">
        <f>REDBOOKSearchResults!H39</f>
        <v>863.78321000000005</v>
      </c>
      <c r="C34" s="7">
        <f>REDBOOKSearchResults!I39</f>
        <v>3.5</v>
      </c>
      <c r="D34" s="4" t="str">
        <f>REDBOOKSearchResults!J39</f>
        <v>59572-0405-28</v>
      </c>
      <c r="E34" t="str">
        <f>INDEX(REDBOOKSearchResults!$N$2:$N$13, MATCH(D34, REDBOOKSearchResults!$L$2:$L$13, 0))</f>
        <v>5 mg</v>
      </c>
      <c r="F34" t="str">
        <f>INDEX(REDBOOKSearchResults!$A$1:$AK$100, MATCH($D34, REDBOOKSearchResults!$L$1:$L$100, 0), MATCH(F$2, REDBOOKSearchResults!$1:$1, 0))</f>
        <v>28s ea</v>
      </c>
    </row>
    <row r="35" spans="1:6" x14ac:dyDescent="0.15">
      <c r="A35" s="4">
        <f>REDBOOKSearchResults!G40</f>
        <v>43291</v>
      </c>
      <c r="B35" s="7">
        <f>REDBOOKSearchResults!H40</f>
        <v>834.57285999999999</v>
      </c>
      <c r="C35" s="7">
        <f>REDBOOKSearchResults!I40</f>
        <v>5</v>
      </c>
      <c r="D35" s="4" t="str">
        <f>REDBOOKSearchResults!J40</f>
        <v>59572-0405-28</v>
      </c>
      <c r="E35" t="str">
        <f>INDEX(REDBOOKSearchResults!$N$2:$N$13, MATCH(D35, REDBOOKSearchResults!$L$2:$L$13, 0))</f>
        <v>5 mg</v>
      </c>
      <c r="F35" t="str">
        <f>INDEX(REDBOOKSearchResults!$A$1:$AK$100, MATCH($D35, REDBOOKSearchResults!$L$1:$L$100, 0), MATCH(F$2, REDBOOKSearchResults!$1:$1, 0))</f>
        <v>28s ea</v>
      </c>
    </row>
    <row r="36" spans="1:6" x14ac:dyDescent="0.15">
      <c r="A36" s="4">
        <f>REDBOOKSearchResults!G41</f>
        <v>43028</v>
      </c>
      <c r="B36" s="7">
        <f>REDBOOKSearchResults!H41</f>
        <v>794.83178999999996</v>
      </c>
      <c r="C36" s="7">
        <f>REDBOOKSearchResults!I41</f>
        <v>9</v>
      </c>
      <c r="D36" s="4" t="str">
        <f>REDBOOKSearchResults!J41</f>
        <v>59572-0405-28</v>
      </c>
      <c r="E36" t="str">
        <f>INDEX(REDBOOKSearchResults!$N$2:$N$13, MATCH(D36, REDBOOKSearchResults!$L$2:$L$13, 0))</f>
        <v>5 mg</v>
      </c>
      <c r="F36" t="str">
        <f>INDEX(REDBOOKSearchResults!$A$1:$AK$100, MATCH($D36, REDBOOKSearchResults!$L$1:$L$100, 0), MATCH(F$2, REDBOOKSearchResults!$1:$1, 0))</f>
        <v>28s ea</v>
      </c>
    </row>
    <row r="37" spans="1:6" x14ac:dyDescent="0.15">
      <c r="A37" s="4">
        <f>REDBOOKSearchResults!G42</f>
        <v>42927</v>
      </c>
      <c r="B37" s="7">
        <f>REDBOOKSearchResults!H42</f>
        <v>729.20321000000001</v>
      </c>
      <c r="C37" s="7">
        <f>REDBOOKSearchResults!I42</f>
        <v>1.8</v>
      </c>
      <c r="D37" s="4" t="str">
        <f>REDBOOKSearchResults!J42</f>
        <v>59572-0405-28</v>
      </c>
      <c r="E37" t="str">
        <f>INDEX(REDBOOKSearchResults!$N$2:$N$13, MATCH(D37, REDBOOKSearchResults!$L$2:$L$13, 0))</f>
        <v>5 mg</v>
      </c>
      <c r="F37" t="str">
        <f>INDEX(REDBOOKSearchResults!$A$1:$AK$100, MATCH($D37, REDBOOKSearchResults!$L$1:$L$100, 0), MATCH(F$2, REDBOOKSearchResults!$1:$1, 0))</f>
        <v>28s ea</v>
      </c>
    </row>
    <row r="38" spans="1:6" x14ac:dyDescent="0.15">
      <c r="A38" s="4">
        <f>REDBOOKSearchResults!G43</f>
        <v>42746</v>
      </c>
      <c r="B38" s="7">
        <f>REDBOOKSearchResults!H43</f>
        <v>716.66143</v>
      </c>
      <c r="C38" s="7">
        <f>REDBOOKSearchResults!I43</f>
        <v>8</v>
      </c>
      <c r="D38" s="4" t="str">
        <f>REDBOOKSearchResults!J43</f>
        <v>59572-0405-28</v>
      </c>
      <c r="E38" t="str">
        <f>INDEX(REDBOOKSearchResults!$N$2:$N$13, MATCH(D38, REDBOOKSearchResults!$L$2:$L$13, 0))</f>
        <v>5 mg</v>
      </c>
      <c r="F38" t="str">
        <f>INDEX(REDBOOKSearchResults!$A$1:$AK$100, MATCH($D38, REDBOOKSearchResults!$L$1:$L$100, 0), MATCH(F$2, REDBOOKSearchResults!$1:$1, 0))</f>
        <v>28s ea</v>
      </c>
    </row>
    <row r="39" spans="1:6" x14ac:dyDescent="0.15">
      <c r="A39" s="4">
        <f>REDBOOKSearchResults!G44</f>
        <v>42602</v>
      </c>
      <c r="B39" s="7">
        <f>REDBOOKSearchResults!H44</f>
        <v>663.57570999999996</v>
      </c>
      <c r="C39" s="7">
        <f>REDBOOKSearchResults!I44</f>
        <v>3</v>
      </c>
      <c r="D39" s="4" t="str">
        <f>REDBOOKSearchResults!J44</f>
        <v>59572-0405-28</v>
      </c>
      <c r="E39" t="str">
        <f>INDEX(REDBOOKSearchResults!$N$2:$N$13, MATCH(D39, REDBOOKSearchResults!$L$2:$L$13, 0))</f>
        <v>5 mg</v>
      </c>
      <c r="F39" t="str">
        <f>INDEX(REDBOOKSearchResults!$A$1:$AK$100, MATCH($D39, REDBOOKSearchResults!$L$1:$L$100, 0), MATCH(F$2, REDBOOKSearchResults!$1:$1, 0))</f>
        <v>28s ea</v>
      </c>
    </row>
    <row r="40" spans="1:6" x14ac:dyDescent="0.15">
      <c r="A40" s="4">
        <f>REDBOOKSearchResults!G45</f>
        <v>42439</v>
      </c>
      <c r="B40" s="7">
        <f>REDBOOKSearchResults!H45</f>
        <v>644.24820999999997</v>
      </c>
      <c r="C40" s="7">
        <f>REDBOOKSearchResults!I45</f>
        <v>6.8</v>
      </c>
      <c r="D40" s="4" t="str">
        <f>REDBOOKSearchResults!J45</f>
        <v>59572-0405-28</v>
      </c>
      <c r="E40" t="str">
        <f>INDEX(REDBOOKSearchResults!$N$2:$N$13, MATCH(D40, REDBOOKSearchResults!$L$2:$L$13, 0))</f>
        <v>5 mg</v>
      </c>
      <c r="F40" t="str">
        <f>INDEX(REDBOOKSearchResults!$A$1:$AK$100, MATCH($D40, REDBOOKSearchResults!$L$1:$L$100, 0), MATCH(F$2, REDBOOKSearchResults!$1:$1, 0))</f>
        <v>28s ea</v>
      </c>
    </row>
    <row r="41" spans="1:6" x14ac:dyDescent="0.15">
      <c r="A41" s="4">
        <f>REDBOOKSearchResults!G46</f>
        <v>42279</v>
      </c>
      <c r="B41" s="7">
        <f>REDBOOKSearchResults!H46</f>
        <v>603.22892999999999</v>
      </c>
      <c r="C41" s="7">
        <f>REDBOOKSearchResults!I46</f>
        <v>4</v>
      </c>
      <c r="D41" s="4" t="str">
        <f>REDBOOKSearchResults!J46</f>
        <v>59572-0405-28</v>
      </c>
      <c r="E41" t="str">
        <f>INDEX(REDBOOKSearchResults!$N$2:$N$13, MATCH(D41, REDBOOKSearchResults!$L$2:$L$13, 0))</f>
        <v>5 mg</v>
      </c>
      <c r="F41" t="str">
        <f>INDEX(REDBOOKSearchResults!$A$1:$AK$100, MATCH($D41, REDBOOKSearchResults!$L$1:$L$100, 0), MATCH(F$2, REDBOOKSearchResults!$1:$1, 0))</f>
        <v>28s ea</v>
      </c>
    </row>
    <row r="42" spans="1:6" x14ac:dyDescent="0.15">
      <c r="A42" s="4">
        <f>REDBOOKSearchResults!G47</f>
        <v>42180</v>
      </c>
      <c r="B42" s="7">
        <f>REDBOOKSearchResults!H47</f>
        <v>580.02786000000003</v>
      </c>
      <c r="C42" s="7">
        <f>REDBOOKSearchResults!I47</f>
        <v>3</v>
      </c>
      <c r="D42" s="4" t="str">
        <f>REDBOOKSearchResults!J47</f>
        <v>59572-0405-28</v>
      </c>
      <c r="E42" t="str">
        <f>INDEX(REDBOOKSearchResults!$N$2:$N$13, MATCH(D42, REDBOOKSearchResults!$L$2:$L$13, 0))</f>
        <v>5 mg</v>
      </c>
      <c r="F42" t="str">
        <f>INDEX(REDBOOKSearchResults!$A$1:$AK$100, MATCH($D42, REDBOOKSearchResults!$L$1:$L$100, 0), MATCH(F$2, REDBOOKSearchResults!$1:$1, 0))</f>
        <v>28s ea</v>
      </c>
    </row>
    <row r="43" spans="1:6" x14ac:dyDescent="0.15">
      <c r="A43" s="4">
        <f>REDBOOKSearchResults!G48</f>
        <v>41996</v>
      </c>
      <c r="B43" s="7">
        <f>REDBOOKSearchResults!H48</f>
        <v>563.13392999999996</v>
      </c>
      <c r="C43" s="7">
        <f>REDBOOKSearchResults!I48</f>
        <v>3</v>
      </c>
      <c r="D43" s="4" t="str">
        <f>REDBOOKSearchResults!J48</f>
        <v>59572-0405-28</v>
      </c>
      <c r="E43" t="str">
        <f>INDEX(REDBOOKSearchResults!$N$2:$N$13, MATCH(D43, REDBOOKSearchResults!$L$2:$L$13, 0))</f>
        <v>5 mg</v>
      </c>
      <c r="F43" t="str">
        <f>INDEX(REDBOOKSearchResults!$A$1:$AK$100, MATCH($D43, REDBOOKSearchResults!$L$1:$L$100, 0), MATCH(F$2, REDBOOKSearchResults!$1:$1, 0))</f>
        <v>28s ea</v>
      </c>
    </row>
    <row r="44" spans="1:6" x14ac:dyDescent="0.15">
      <c r="A44" s="4">
        <f>REDBOOKSearchResults!G49</f>
        <v>41885</v>
      </c>
      <c r="B44" s="7">
        <f>REDBOOKSearchResults!H49</f>
        <v>546.73213999999996</v>
      </c>
      <c r="C44" s="7">
        <f>REDBOOKSearchResults!I49</f>
        <v>6.2</v>
      </c>
      <c r="D44" s="4" t="str">
        <f>REDBOOKSearchResults!J49</f>
        <v>59572-0405-28</v>
      </c>
      <c r="E44" t="str">
        <f>INDEX(REDBOOKSearchResults!$N$2:$N$13, MATCH(D44, REDBOOKSearchResults!$L$2:$L$13, 0))</f>
        <v>5 mg</v>
      </c>
      <c r="F44" t="str">
        <f>INDEX(REDBOOKSearchResults!$A$1:$AK$100, MATCH($D44, REDBOOKSearchResults!$L$1:$L$100, 0), MATCH(F$2, REDBOOKSearchResults!$1:$1, 0))</f>
        <v>28s ea</v>
      </c>
    </row>
    <row r="45" spans="1:6" x14ac:dyDescent="0.15">
      <c r="A45" s="4">
        <f>REDBOOKSearchResults!G50</f>
        <v>41704</v>
      </c>
      <c r="B45" s="7">
        <f>REDBOOKSearchResults!H50</f>
        <v>514.67214000000001</v>
      </c>
      <c r="C45" s="7">
        <f>REDBOOKSearchResults!I50</f>
        <v>4</v>
      </c>
      <c r="D45" s="4" t="str">
        <f>REDBOOKSearchResults!J50</f>
        <v>59572-0405-28</v>
      </c>
      <c r="E45" t="str">
        <f>INDEX(REDBOOKSearchResults!$N$2:$N$13, MATCH(D45, REDBOOKSearchResults!$L$2:$L$13, 0))</f>
        <v>5 mg</v>
      </c>
      <c r="F45" t="str">
        <f>INDEX(REDBOOKSearchResults!$A$1:$AK$100, MATCH($D45, REDBOOKSearchResults!$L$1:$L$100, 0), MATCH(F$2, REDBOOKSearchResults!$1:$1, 0))</f>
        <v>28s ea</v>
      </c>
    </row>
    <row r="46" spans="1:6" x14ac:dyDescent="0.15">
      <c r="A46" s="4">
        <f>REDBOOKSearchResults!G51</f>
        <v>41548</v>
      </c>
      <c r="B46" s="7">
        <f>REDBOOKSearchResults!H51</f>
        <v>494.87714</v>
      </c>
      <c r="C46" s="7">
        <f>REDBOOKSearchResults!I51</f>
        <v>3</v>
      </c>
      <c r="D46" s="4" t="str">
        <f>REDBOOKSearchResults!J51</f>
        <v>59572-0405-28</v>
      </c>
      <c r="E46" t="str">
        <f>INDEX(REDBOOKSearchResults!$N$2:$N$13, MATCH(D46, REDBOOKSearchResults!$L$2:$L$13, 0))</f>
        <v>5 mg</v>
      </c>
      <c r="F46" t="str">
        <f>INDEX(REDBOOKSearchResults!$A$1:$AK$100, MATCH($D46, REDBOOKSearchResults!$L$1:$L$100, 0), MATCH(F$2, REDBOOKSearchResults!$1:$1, 0))</f>
        <v>28s ea</v>
      </c>
    </row>
    <row r="47" spans="1:6" x14ac:dyDescent="0.15">
      <c r="A47" s="4">
        <f>REDBOOKSearchResults!G52</f>
        <v>41363</v>
      </c>
      <c r="B47" s="7">
        <f>REDBOOKSearchResults!H52</f>
        <v>480.46321</v>
      </c>
      <c r="C47" s="7">
        <f>REDBOOKSearchResults!I52</f>
        <v>3</v>
      </c>
      <c r="D47" s="4" t="str">
        <f>REDBOOKSearchResults!J52</f>
        <v>59572-0405-28</v>
      </c>
      <c r="E47" t="str">
        <f>INDEX(REDBOOKSearchResults!$N$2:$N$13, MATCH(D47, REDBOOKSearchResults!$L$2:$L$13, 0))</f>
        <v>5 mg</v>
      </c>
      <c r="F47" t="str">
        <f>INDEX(REDBOOKSearchResults!$A$1:$AK$100, MATCH($D47, REDBOOKSearchResults!$L$1:$L$100, 0), MATCH(F$2, REDBOOKSearchResults!$1:$1, 0))</f>
        <v>28s ea</v>
      </c>
    </row>
    <row r="48" spans="1:6" x14ac:dyDescent="0.15">
      <c r="A48" s="4">
        <f>REDBOOKSearchResults!G53</f>
        <v>41214</v>
      </c>
      <c r="B48" s="7">
        <f>REDBOOKSearchResults!H53</f>
        <v>466.46929</v>
      </c>
      <c r="C48" s="7">
        <f>REDBOOKSearchResults!I53</f>
        <v>6</v>
      </c>
      <c r="D48" s="4" t="str">
        <f>REDBOOKSearchResults!J53</f>
        <v>59572-0405-28</v>
      </c>
      <c r="E48" t="str">
        <f>INDEX(REDBOOKSearchResults!$N$2:$N$13, MATCH(D48, REDBOOKSearchResults!$L$2:$L$13, 0))</f>
        <v>5 mg</v>
      </c>
      <c r="F48" t="str">
        <f>INDEX(REDBOOKSearchResults!$A$1:$AK$100, MATCH($D48, REDBOOKSearchResults!$L$1:$L$100, 0), MATCH(F$2, REDBOOKSearchResults!$1:$1, 0))</f>
        <v>28s ea</v>
      </c>
    </row>
    <row r="49" spans="1:6" x14ac:dyDescent="0.15">
      <c r="A49" s="4">
        <f>REDBOOKSearchResults!G54</f>
        <v>40876</v>
      </c>
      <c r="B49" s="7">
        <f>REDBOOKSearchResults!H54</f>
        <v>440.06536</v>
      </c>
      <c r="C49" s="7">
        <f>REDBOOKSearchResults!I54</f>
        <v>6</v>
      </c>
      <c r="D49" s="4" t="str">
        <f>REDBOOKSearchResults!J54</f>
        <v>59572-0405-28</v>
      </c>
      <c r="E49" t="str">
        <f>INDEX(REDBOOKSearchResults!$N$2:$N$13, MATCH(D49, REDBOOKSearchResults!$L$2:$L$13, 0))</f>
        <v>5 mg</v>
      </c>
      <c r="F49" t="str">
        <f>INDEX(REDBOOKSearchResults!$A$1:$AK$100, MATCH($D49, REDBOOKSearchResults!$L$1:$L$100, 0), MATCH(F$2, REDBOOKSearchResults!$1:$1, 0))</f>
        <v>28s ea</v>
      </c>
    </row>
    <row r="50" spans="1:6" x14ac:dyDescent="0.15">
      <c r="A50" s="4">
        <f>REDBOOKSearchResults!G55</f>
        <v>40523</v>
      </c>
      <c r="B50" s="7">
        <f>REDBOOKSearchResults!H55</f>
        <v>415.15571</v>
      </c>
      <c r="C50" s="7">
        <f>REDBOOKSearchResults!I55</f>
        <v>7</v>
      </c>
      <c r="D50" s="4" t="str">
        <f>REDBOOKSearchResults!J55</f>
        <v>59572-0405-28</v>
      </c>
      <c r="E50" t="str">
        <f>INDEX(REDBOOKSearchResults!$N$2:$N$13, MATCH(D50, REDBOOKSearchResults!$L$2:$L$13, 0))</f>
        <v>5 mg</v>
      </c>
      <c r="F50" t="str">
        <f>INDEX(REDBOOKSearchResults!$A$1:$AK$100, MATCH($D50, REDBOOKSearchResults!$L$1:$L$100, 0), MATCH(F$2, REDBOOKSearchResults!$1:$1, 0))</f>
        <v>28s ea</v>
      </c>
    </row>
    <row r="51" spans="1:6" x14ac:dyDescent="0.15">
      <c r="A51" s="4">
        <f>REDBOOKSearchResults!G56</f>
        <v>40183</v>
      </c>
      <c r="B51" s="7">
        <f>REDBOOKSearchResults!H56</f>
        <v>387.99786</v>
      </c>
      <c r="C51" s="7">
        <f>REDBOOKSearchResults!I56</f>
        <v>8.9</v>
      </c>
      <c r="D51" s="4" t="str">
        <f>REDBOOKSearchResults!J56</f>
        <v>59572-0405-28</v>
      </c>
      <c r="E51" t="str">
        <f>INDEX(REDBOOKSearchResults!$N$2:$N$13, MATCH(D51, REDBOOKSearchResults!$L$2:$L$13, 0))</f>
        <v>5 mg</v>
      </c>
      <c r="F51" t="str">
        <f>INDEX(REDBOOKSearchResults!$A$1:$AK$100, MATCH($D51, REDBOOKSearchResults!$L$1:$L$100, 0), MATCH(F$2, REDBOOKSearchResults!$1:$1, 0))</f>
        <v>28s ea</v>
      </c>
    </row>
    <row r="52" spans="1:6" x14ac:dyDescent="0.15">
      <c r="A52" s="4">
        <f>REDBOOKSearchResults!G57</f>
        <v>39939</v>
      </c>
      <c r="B52" s="7">
        <f>REDBOOKSearchResults!H57</f>
        <v>356.28820999999999</v>
      </c>
      <c r="C52" s="7">
        <f>REDBOOKSearchResults!I57</f>
        <v>9.9</v>
      </c>
      <c r="D52" s="4" t="str">
        <f>REDBOOKSearchResults!J57</f>
        <v>59572-0405-28</v>
      </c>
      <c r="E52" t="str">
        <f>INDEX(REDBOOKSearchResults!$N$2:$N$13, MATCH(D52, REDBOOKSearchResults!$L$2:$L$13, 0))</f>
        <v>5 mg</v>
      </c>
      <c r="F52" t="str">
        <f>INDEX(REDBOOKSearchResults!$A$1:$AK$100, MATCH($D52, REDBOOKSearchResults!$L$1:$L$100, 0), MATCH(F$2, REDBOOKSearchResults!$1:$1, 0))</f>
        <v>28s ea</v>
      </c>
    </row>
    <row r="53" spans="1:6" x14ac:dyDescent="0.15">
      <c r="A53" s="4">
        <f>REDBOOKSearchResults!G58</f>
        <v>39904</v>
      </c>
      <c r="B53" s="7">
        <f>REDBOOKSearchResults!H58</f>
        <v>324.07213999999999</v>
      </c>
      <c r="C53" s="7">
        <f>REDBOOKSearchResults!I58</f>
        <v>0</v>
      </c>
      <c r="D53" s="4" t="str">
        <f>REDBOOKSearchResults!J58</f>
        <v>59572-0405-28</v>
      </c>
      <c r="E53" t="str">
        <f>INDEX(REDBOOKSearchResults!$N$2:$N$13, MATCH(D53, REDBOOKSearchResults!$L$2:$L$13, 0))</f>
        <v>5 mg</v>
      </c>
      <c r="F53" t="str">
        <f>INDEX(REDBOOKSearchResults!$A$1:$AK$100, MATCH($D53, REDBOOKSearchResults!$L$1:$L$100, 0), MATCH(F$2, REDBOOKSearchResults!$1:$1, 0))</f>
        <v>28s ea</v>
      </c>
    </row>
    <row r="54" spans="1:6" x14ac:dyDescent="0.15">
      <c r="A54" s="4">
        <f>REDBOOKSearchResults!L35</f>
        <v>45474</v>
      </c>
      <c r="B54" s="7">
        <f>REDBOOKSearchResults!M35</f>
        <v>1069.86095</v>
      </c>
      <c r="C54" s="7">
        <f>REDBOOKSearchResults!N35</f>
        <v>7</v>
      </c>
      <c r="D54" s="4" t="str">
        <f>REDBOOKSearchResults!O35</f>
        <v>59572-0420-21</v>
      </c>
      <c r="E54" t="str">
        <f>INDEX(REDBOOKSearchResults!$N$2:$N$13, MATCH(D54, REDBOOKSearchResults!$L$2:$L$13, 0))</f>
        <v>20 mg</v>
      </c>
      <c r="F54" t="str">
        <f>INDEX(REDBOOKSearchResults!$A$1:$AK$100, MATCH($D54, REDBOOKSearchResults!$L$1:$L$100, 0), MATCH(F$2, REDBOOKSearchResults!$1:$1, 0))</f>
        <v>21s ea</v>
      </c>
    </row>
    <row r="55" spans="1:6" x14ac:dyDescent="0.15">
      <c r="A55" s="4">
        <f>REDBOOKSearchResults!L36</f>
        <v>44562</v>
      </c>
      <c r="B55" s="7">
        <f>REDBOOKSearchResults!M36</f>
        <v>999.87048000000004</v>
      </c>
      <c r="C55" s="7">
        <f>REDBOOKSearchResults!N36</f>
        <v>4.5</v>
      </c>
      <c r="D55" s="4" t="str">
        <f>REDBOOKSearchResults!O36</f>
        <v>59572-0420-21</v>
      </c>
      <c r="E55" t="str">
        <f>INDEX(REDBOOKSearchResults!$N$2:$N$13, MATCH(D55, REDBOOKSearchResults!$L$2:$L$13, 0))</f>
        <v>20 mg</v>
      </c>
      <c r="F55" t="str">
        <f>INDEX(REDBOOKSearchResults!$A$1:$AK$100, MATCH($D55, REDBOOKSearchResults!$L$1:$L$100, 0), MATCH(F$2, REDBOOKSearchResults!$1:$1, 0))</f>
        <v>21s ea</v>
      </c>
    </row>
    <row r="56" spans="1:6" x14ac:dyDescent="0.15">
      <c r="A56" s="4">
        <f>REDBOOKSearchResults!L37</f>
        <v>44197</v>
      </c>
      <c r="B56" s="7">
        <f>REDBOOKSearchResults!M37</f>
        <v>956.81380999999999</v>
      </c>
      <c r="C56" s="7">
        <f>REDBOOKSearchResults!N37</f>
        <v>4.5</v>
      </c>
      <c r="D56" s="4" t="str">
        <f>REDBOOKSearchResults!O37</f>
        <v>59572-0420-21</v>
      </c>
      <c r="E56" t="str">
        <f>INDEX(REDBOOKSearchResults!$N$2:$N$13, MATCH(D56, REDBOOKSearchResults!$L$2:$L$13, 0))</f>
        <v>20 mg</v>
      </c>
      <c r="F56" t="str">
        <f>INDEX(REDBOOKSearchResults!$A$1:$AK$100, MATCH($D56, REDBOOKSearchResults!$L$1:$L$100, 0), MATCH(F$2, REDBOOKSearchResults!$1:$1, 0))</f>
        <v>21s ea</v>
      </c>
    </row>
    <row r="57" spans="1:6" x14ac:dyDescent="0.15">
      <c r="A57" s="4">
        <f>REDBOOKSearchResults!L38</f>
        <v>43831</v>
      </c>
      <c r="B57" s="7">
        <f>REDBOOKSearchResults!M38</f>
        <v>915.61143000000004</v>
      </c>
      <c r="C57" s="7">
        <f>REDBOOKSearchResults!N38</f>
        <v>6</v>
      </c>
      <c r="D57" s="4" t="str">
        <f>REDBOOKSearchResults!O38</f>
        <v>59572-0420-21</v>
      </c>
      <c r="E57" t="str">
        <f>INDEX(REDBOOKSearchResults!$N$2:$N$13, MATCH(D57, REDBOOKSearchResults!$L$2:$L$13, 0))</f>
        <v>20 mg</v>
      </c>
      <c r="F57" t="str">
        <f>INDEX(REDBOOKSearchResults!$A$1:$AK$100, MATCH($D57, REDBOOKSearchResults!$L$1:$L$100, 0), MATCH(F$2, REDBOOKSearchResults!$1:$1, 0))</f>
        <v>21s ea</v>
      </c>
    </row>
    <row r="58" spans="1:6" x14ac:dyDescent="0.15">
      <c r="A58" s="4">
        <f>REDBOOKSearchResults!L39</f>
        <v>43468</v>
      </c>
      <c r="B58" s="7">
        <f>REDBOOKSearchResults!M39</f>
        <v>863.78476000000001</v>
      </c>
      <c r="C58" s="7">
        <f>REDBOOKSearchResults!N39</f>
        <v>3.5</v>
      </c>
      <c r="D58" s="4" t="str">
        <f>REDBOOKSearchResults!O39</f>
        <v>59572-0420-21</v>
      </c>
      <c r="E58" t="str">
        <f>INDEX(REDBOOKSearchResults!$N$2:$N$13, MATCH(D58, REDBOOKSearchResults!$L$2:$L$13, 0))</f>
        <v>20 mg</v>
      </c>
      <c r="F58" t="str">
        <f>INDEX(REDBOOKSearchResults!$A$1:$AK$100, MATCH($D58, REDBOOKSearchResults!$L$1:$L$100, 0), MATCH(F$2, REDBOOKSearchResults!$1:$1, 0))</f>
        <v>21s ea</v>
      </c>
    </row>
    <row r="59" spans="1:6" x14ac:dyDescent="0.15">
      <c r="A59" s="4">
        <f>REDBOOKSearchResults!L40</f>
        <v>43291</v>
      </c>
      <c r="B59" s="7">
        <f>REDBOOKSearchResults!M40</f>
        <v>834.57429000000002</v>
      </c>
      <c r="C59" s="7">
        <f>REDBOOKSearchResults!N40</f>
        <v>5</v>
      </c>
      <c r="D59" s="4" t="str">
        <f>REDBOOKSearchResults!O40</f>
        <v>59572-0420-21</v>
      </c>
      <c r="E59" t="str">
        <f>INDEX(REDBOOKSearchResults!$N$2:$N$13, MATCH(D59, REDBOOKSearchResults!$L$2:$L$13, 0))</f>
        <v>20 mg</v>
      </c>
      <c r="F59" t="str">
        <f>INDEX(REDBOOKSearchResults!$A$1:$AK$100, MATCH($D59, REDBOOKSearchResults!$L$1:$L$100, 0), MATCH(F$2, REDBOOKSearchResults!$1:$1, 0))</f>
        <v>21s ea</v>
      </c>
    </row>
    <row r="60" spans="1:6" x14ac:dyDescent="0.15">
      <c r="A60" s="4">
        <f>REDBOOKSearchResults!L41</f>
        <v>43028</v>
      </c>
      <c r="B60" s="7">
        <f>REDBOOKSearchResults!M41</f>
        <v>794.83237999999994</v>
      </c>
      <c r="C60" s="7">
        <f>REDBOOKSearchResults!N41</f>
        <v>9</v>
      </c>
      <c r="D60" s="4" t="str">
        <f>REDBOOKSearchResults!O41</f>
        <v>59572-0420-21</v>
      </c>
      <c r="E60" t="str">
        <f>INDEX(REDBOOKSearchResults!$N$2:$N$13, MATCH(D60, REDBOOKSearchResults!$L$2:$L$13, 0))</f>
        <v>20 mg</v>
      </c>
      <c r="F60" t="str">
        <f>INDEX(REDBOOKSearchResults!$A$1:$AK$100, MATCH($D60, REDBOOKSearchResults!$L$1:$L$100, 0), MATCH(F$2, REDBOOKSearchResults!$1:$1, 0))</f>
        <v>21s ea</v>
      </c>
    </row>
    <row r="61" spans="1:6" x14ac:dyDescent="0.15">
      <c r="A61" s="4">
        <f>REDBOOKSearchResults!L42</f>
        <v>42927</v>
      </c>
      <c r="B61" s="7">
        <f>REDBOOKSearchResults!M42</f>
        <v>729.20380999999998</v>
      </c>
      <c r="C61" s="7">
        <f>REDBOOKSearchResults!N42</f>
        <v>1.7</v>
      </c>
      <c r="D61" s="4" t="str">
        <f>REDBOOKSearchResults!O42</f>
        <v>59572-0420-21</v>
      </c>
      <c r="E61" t="str">
        <f>INDEX(REDBOOKSearchResults!$N$2:$N$13, MATCH(D61, REDBOOKSearchResults!$L$2:$L$13, 0))</f>
        <v>20 mg</v>
      </c>
      <c r="F61" t="str">
        <f>INDEX(REDBOOKSearchResults!$A$1:$AK$100, MATCH($D61, REDBOOKSearchResults!$L$1:$L$100, 0), MATCH(F$2, REDBOOKSearchResults!$1:$1, 0))</f>
        <v>21s ea</v>
      </c>
    </row>
    <row r="62" spans="1:6" x14ac:dyDescent="0.15">
      <c r="A62" s="4">
        <f>REDBOOKSearchResults!L43</f>
        <v>42746</v>
      </c>
      <c r="B62" s="7">
        <f>REDBOOKSearchResults!M43</f>
        <v>716.66237999999998</v>
      </c>
      <c r="C62" s="7">
        <f>REDBOOKSearchResults!N43</f>
        <v>8</v>
      </c>
      <c r="D62" s="4" t="str">
        <f>REDBOOKSearchResults!O43</f>
        <v>59572-0420-21</v>
      </c>
      <c r="E62" t="str">
        <f>INDEX(REDBOOKSearchResults!$N$2:$N$13, MATCH(D62, REDBOOKSearchResults!$L$2:$L$13, 0))</f>
        <v>20 mg</v>
      </c>
      <c r="F62" t="str">
        <f>INDEX(REDBOOKSearchResults!$A$1:$AK$100, MATCH($D62, REDBOOKSearchResults!$L$1:$L$100, 0), MATCH(F$2, REDBOOKSearchResults!$1:$1, 0))</f>
        <v>21s ea</v>
      </c>
    </row>
    <row r="63" spans="1:6" x14ac:dyDescent="0.15">
      <c r="A63" s="4">
        <f>REDBOOKSearchResults!L44</f>
        <v>42602</v>
      </c>
      <c r="B63" s="7">
        <f>REDBOOKSearchResults!M44</f>
        <v>663.57619</v>
      </c>
      <c r="C63" s="7">
        <f>REDBOOKSearchResults!N44</f>
        <v>3</v>
      </c>
      <c r="D63" s="4" t="str">
        <f>REDBOOKSearchResults!O44</f>
        <v>59572-0420-21</v>
      </c>
      <c r="E63" t="str">
        <f>INDEX(REDBOOKSearchResults!$N$2:$N$13, MATCH(D63, REDBOOKSearchResults!$L$2:$L$13, 0))</f>
        <v>20 mg</v>
      </c>
      <c r="F63" t="str">
        <f>INDEX(REDBOOKSearchResults!$A$1:$AK$100, MATCH($D63, REDBOOKSearchResults!$L$1:$L$100, 0), MATCH(F$2, REDBOOKSearchResults!$1:$1, 0))</f>
        <v>21s ea</v>
      </c>
    </row>
    <row r="64" spans="1:6" x14ac:dyDescent="0.15">
      <c r="A64" s="4">
        <f>REDBOOKSearchResults!L45</f>
        <v>42439</v>
      </c>
      <c r="B64" s="7">
        <f>REDBOOKSearchResults!M45</f>
        <v>644.24856999999997</v>
      </c>
      <c r="C64" s="7">
        <f>REDBOOKSearchResults!N45</f>
        <v>6.8</v>
      </c>
      <c r="D64" s="4" t="str">
        <f>REDBOOKSearchResults!O45</f>
        <v>59572-0420-21</v>
      </c>
      <c r="E64" t="str">
        <f>INDEX(REDBOOKSearchResults!$N$2:$N$13, MATCH(D64, REDBOOKSearchResults!$L$2:$L$13, 0))</f>
        <v>20 mg</v>
      </c>
      <c r="F64" t="str">
        <f>INDEX(REDBOOKSearchResults!$A$1:$AK$100, MATCH($D64, REDBOOKSearchResults!$L$1:$L$100, 0), MATCH(F$2, REDBOOKSearchResults!$1:$1, 0))</f>
        <v>21s ea</v>
      </c>
    </row>
    <row r="65" spans="1:6" x14ac:dyDescent="0.15">
      <c r="A65" s="4">
        <f>REDBOOKSearchResults!L46</f>
        <v>42279</v>
      </c>
      <c r="B65" s="7">
        <f>REDBOOKSearchResults!M46</f>
        <v>603.22905000000003</v>
      </c>
      <c r="C65" s="7">
        <f>REDBOOKSearchResults!N46</f>
        <v>4</v>
      </c>
      <c r="D65" s="4" t="str">
        <f>REDBOOKSearchResults!O46</f>
        <v>59572-0420-21</v>
      </c>
      <c r="E65" t="str">
        <f>INDEX(REDBOOKSearchResults!$N$2:$N$13, MATCH(D65, REDBOOKSearchResults!$L$2:$L$13, 0))</f>
        <v>20 mg</v>
      </c>
      <c r="F65" t="str">
        <f>INDEX(REDBOOKSearchResults!$A$1:$AK$100, MATCH($D65, REDBOOKSearchResults!$L$1:$L$100, 0), MATCH(F$2, REDBOOKSearchResults!$1:$1, 0))</f>
        <v>21s ea</v>
      </c>
    </row>
    <row r="66" spans="1:6" x14ac:dyDescent="0.15">
      <c r="A66" s="4">
        <f>REDBOOKSearchResults!L47</f>
        <v>42180</v>
      </c>
      <c r="B66" s="7">
        <f>REDBOOKSearchResults!M47</f>
        <v>580.02809999999999</v>
      </c>
      <c r="C66" s="7">
        <f>REDBOOKSearchResults!N47</f>
        <v>3</v>
      </c>
      <c r="D66" s="4" t="str">
        <f>REDBOOKSearchResults!O47</f>
        <v>59572-0420-21</v>
      </c>
      <c r="E66" t="str">
        <f>INDEX(REDBOOKSearchResults!$N$2:$N$13, MATCH(D66, REDBOOKSearchResults!$L$2:$L$13, 0))</f>
        <v>20 mg</v>
      </c>
      <c r="F66" t="str">
        <f>INDEX(REDBOOKSearchResults!$A$1:$AK$100, MATCH($D66, REDBOOKSearchResults!$L$1:$L$100, 0), MATCH(F$2, REDBOOKSearchResults!$1:$1, 0))</f>
        <v>21s ea</v>
      </c>
    </row>
    <row r="67" spans="1:6" x14ac:dyDescent="0.15">
      <c r="A67" s="4">
        <f>REDBOOKSearchResults!L48</f>
        <v>41996</v>
      </c>
      <c r="B67" s="7">
        <f>REDBOOKSearchResults!M48</f>
        <v>563.13381000000004</v>
      </c>
      <c r="C67" s="7">
        <f>REDBOOKSearchResults!N48</f>
        <v>3</v>
      </c>
      <c r="D67" s="4" t="str">
        <f>REDBOOKSearchResults!O48</f>
        <v>59572-0420-21</v>
      </c>
      <c r="E67" t="str">
        <f>INDEX(REDBOOKSearchResults!$N$2:$N$13, MATCH(D67, REDBOOKSearchResults!$L$2:$L$13, 0))</f>
        <v>20 mg</v>
      </c>
      <c r="F67" t="str">
        <f>INDEX(REDBOOKSearchResults!$A$1:$AK$100, MATCH($D67, REDBOOKSearchResults!$L$1:$L$100, 0), MATCH(F$2, REDBOOKSearchResults!$1:$1, 0))</f>
        <v>21s ea</v>
      </c>
    </row>
    <row r="68" spans="1:6" x14ac:dyDescent="0.15">
      <c r="A68" s="4">
        <f>REDBOOKSearchResults!L49</f>
        <v>41885</v>
      </c>
      <c r="B68" s="7">
        <f>REDBOOKSearchResults!M49</f>
        <v>546.7319</v>
      </c>
      <c r="C68" s="7">
        <f>REDBOOKSearchResults!N49</f>
        <v>3</v>
      </c>
      <c r="D68" s="4" t="str">
        <f>REDBOOKSearchResults!O49</f>
        <v>59572-0420-21</v>
      </c>
      <c r="E68" t="str">
        <f>INDEX(REDBOOKSearchResults!$N$2:$N$13, MATCH(D68, REDBOOKSearchResults!$L$2:$L$13, 0))</f>
        <v>20 mg</v>
      </c>
      <c r="F68" t="str">
        <f>INDEX(REDBOOKSearchResults!$A$1:$AK$100, MATCH($D68, REDBOOKSearchResults!$L$1:$L$100, 0), MATCH(F$2, REDBOOKSearchResults!$1:$1, 0))</f>
        <v>21s ea</v>
      </c>
    </row>
    <row r="69" spans="1:6" x14ac:dyDescent="0.15">
      <c r="A69" s="4">
        <f>REDBOOKSearchResults!L50</f>
        <v>41704</v>
      </c>
      <c r="B69" s="7">
        <f>REDBOOKSearchResults!M50</f>
        <v>530.81429000000003</v>
      </c>
      <c r="C69" s="7">
        <f>REDBOOKSearchResults!N50</f>
        <v>4</v>
      </c>
      <c r="D69" s="4" t="str">
        <f>REDBOOKSearchResults!O50</f>
        <v>59572-0420-21</v>
      </c>
      <c r="E69" t="str">
        <f>INDEX(REDBOOKSearchResults!$N$2:$N$13, MATCH(D69, REDBOOKSearchResults!$L$2:$L$13, 0))</f>
        <v>20 mg</v>
      </c>
      <c r="F69" t="str">
        <f>INDEX(REDBOOKSearchResults!$A$1:$AK$100, MATCH($D69, REDBOOKSearchResults!$L$1:$L$100, 0), MATCH(F$2, REDBOOKSearchResults!$1:$1, 0))</f>
        <v>21s ea</v>
      </c>
    </row>
    <row r="70" spans="1:6" x14ac:dyDescent="0.15">
      <c r="A70" s="4">
        <f>REDBOOKSearchResults!L51</f>
        <v>41548</v>
      </c>
      <c r="B70" s="7">
        <f>REDBOOKSearchResults!M51</f>
        <v>510.3981</v>
      </c>
      <c r="C70" s="7">
        <f>REDBOOKSearchResults!N51</f>
        <v>3</v>
      </c>
      <c r="D70" s="4" t="str">
        <f>REDBOOKSearchResults!O51</f>
        <v>59572-0420-21</v>
      </c>
      <c r="E70" t="str">
        <f>INDEX(REDBOOKSearchResults!$N$2:$N$13, MATCH(D70, REDBOOKSearchResults!$L$2:$L$13, 0))</f>
        <v>20 mg</v>
      </c>
      <c r="F70" t="str">
        <f>INDEX(REDBOOKSearchResults!$A$1:$AK$100, MATCH($D70, REDBOOKSearchResults!$L$1:$L$100, 0), MATCH(F$2, REDBOOKSearchResults!$1:$1, 0))</f>
        <v>21s ea</v>
      </c>
    </row>
    <row r="71" spans="1:6" x14ac:dyDescent="0.15">
      <c r="A71" s="4">
        <f>REDBOOKSearchResults!L52</f>
        <v>41443</v>
      </c>
      <c r="B71" s="7">
        <f>REDBOOKSearchResults!M52</f>
        <v>495.53237999999999</v>
      </c>
      <c r="C71" s="7">
        <f>REDBOOKSearchResults!N52</f>
        <v>0</v>
      </c>
      <c r="D71" s="4" t="str">
        <f>REDBOOKSearchResults!O52</f>
        <v>59572-0420-21</v>
      </c>
      <c r="E71" t="str">
        <f>INDEX(REDBOOKSearchResults!$N$2:$N$13, MATCH(D71, REDBOOKSearchResults!$L$2:$L$13, 0))</f>
        <v>20 mg</v>
      </c>
      <c r="F71" t="str">
        <f>INDEX(REDBOOKSearchResults!$A$1:$AK$100, MATCH($D71, REDBOOKSearchResults!$L$1:$L$100, 0), MATCH(F$2, REDBOOKSearchResults!$1:$1, 0))</f>
        <v>21s ea</v>
      </c>
    </row>
    <row r="72" spans="1:6" x14ac:dyDescent="0.15">
      <c r="A72" s="4">
        <f>REDBOOKSearchResults!Q35</f>
        <v>45474</v>
      </c>
      <c r="B72" s="7">
        <f>REDBOOKSearchResults!R35</f>
        <v>1069.8607999999999</v>
      </c>
      <c r="C72" s="7">
        <f>REDBOOKSearchResults!S35</f>
        <v>7</v>
      </c>
      <c r="D72" s="4" t="str">
        <f>REDBOOKSearchResults!T35</f>
        <v>59572-0420-00</v>
      </c>
      <c r="E72" t="str">
        <f>INDEX(REDBOOKSearchResults!$N$2:$N$13, MATCH(D72, REDBOOKSearchResults!$L$2:$L$13, 0))</f>
        <v>20 mg</v>
      </c>
      <c r="F72" t="str">
        <f>INDEX(REDBOOKSearchResults!$A$1:$AK$100, MATCH($D72, REDBOOKSearchResults!$L$1:$L$100, 0), MATCH(F$2, REDBOOKSearchResults!$1:$1, 0))</f>
        <v>100s ea</v>
      </c>
    </row>
    <row r="73" spans="1:6" x14ac:dyDescent="0.15">
      <c r="A73" s="4">
        <f>REDBOOKSearchResults!Q36</f>
        <v>44562</v>
      </c>
      <c r="B73" s="7">
        <f>REDBOOKSearchResults!R36</f>
        <v>999.86990000000003</v>
      </c>
      <c r="C73" s="7">
        <f>REDBOOKSearchResults!S36</f>
        <v>4.5</v>
      </c>
      <c r="D73" s="4" t="str">
        <f>REDBOOKSearchResults!T36</f>
        <v>59572-0420-00</v>
      </c>
      <c r="E73" t="str">
        <f>INDEX(REDBOOKSearchResults!$N$2:$N$13, MATCH(D73, REDBOOKSearchResults!$L$2:$L$13, 0))</f>
        <v>20 mg</v>
      </c>
      <c r="F73" t="str">
        <f>INDEX(REDBOOKSearchResults!$A$1:$AK$100, MATCH($D73, REDBOOKSearchResults!$L$1:$L$100, 0), MATCH(F$2, REDBOOKSearchResults!$1:$1, 0))</f>
        <v>100s ea</v>
      </c>
    </row>
    <row r="74" spans="1:6" x14ac:dyDescent="0.15">
      <c r="A74" s="4">
        <f>REDBOOKSearchResults!Q37</f>
        <v>44197</v>
      </c>
      <c r="B74" s="7">
        <f>REDBOOKSearchResults!R37</f>
        <v>956.81330000000003</v>
      </c>
      <c r="C74" s="7">
        <f>REDBOOKSearchResults!S37</f>
        <v>4.5</v>
      </c>
      <c r="D74" s="4" t="str">
        <f>REDBOOKSearchResults!T37</f>
        <v>59572-0420-00</v>
      </c>
      <c r="E74" t="str">
        <f>INDEX(REDBOOKSearchResults!$N$2:$N$13, MATCH(D74, REDBOOKSearchResults!$L$2:$L$13, 0))</f>
        <v>20 mg</v>
      </c>
      <c r="F74" t="str">
        <f>INDEX(REDBOOKSearchResults!$A$1:$AK$100, MATCH($D74, REDBOOKSearchResults!$L$1:$L$100, 0), MATCH(F$2, REDBOOKSearchResults!$1:$1, 0))</f>
        <v>100s ea</v>
      </c>
    </row>
    <row r="75" spans="1:6" x14ac:dyDescent="0.15">
      <c r="A75" s="4">
        <f>REDBOOKSearchResults!Q38</f>
        <v>43831</v>
      </c>
      <c r="B75" s="7">
        <f>REDBOOKSearchResults!R38</f>
        <v>915.61080000000004</v>
      </c>
      <c r="C75" s="7">
        <f>REDBOOKSearchResults!S38</f>
        <v>6</v>
      </c>
      <c r="D75" s="4" t="str">
        <f>REDBOOKSearchResults!T38</f>
        <v>59572-0420-00</v>
      </c>
      <c r="E75" t="str">
        <f>INDEX(REDBOOKSearchResults!$N$2:$N$13, MATCH(D75, REDBOOKSearchResults!$L$2:$L$13, 0))</f>
        <v>20 mg</v>
      </c>
      <c r="F75" t="str">
        <f>INDEX(REDBOOKSearchResults!$A$1:$AK$100, MATCH($D75, REDBOOKSearchResults!$L$1:$L$100, 0), MATCH(F$2, REDBOOKSearchResults!$1:$1, 0))</f>
        <v>100s ea</v>
      </c>
    </row>
    <row r="76" spans="1:6" x14ac:dyDescent="0.15">
      <c r="A76" s="4">
        <f>REDBOOKSearchResults!Q39</f>
        <v>43468</v>
      </c>
      <c r="B76" s="7">
        <f>REDBOOKSearchResults!R39</f>
        <v>863.78380000000004</v>
      </c>
      <c r="C76" s="7">
        <f>REDBOOKSearchResults!S39</f>
        <v>3.5</v>
      </c>
      <c r="D76" s="4" t="str">
        <f>REDBOOKSearchResults!T39</f>
        <v>59572-0420-00</v>
      </c>
      <c r="E76" t="str">
        <f>INDEX(REDBOOKSearchResults!$N$2:$N$13, MATCH(D76, REDBOOKSearchResults!$L$2:$L$13, 0))</f>
        <v>20 mg</v>
      </c>
      <c r="F76" t="str">
        <f>INDEX(REDBOOKSearchResults!$A$1:$AK$100, MATCH($D76, REDBOOKSearchResults!$L$1:$L$100, 0), MATCH(F$2, REDBOOKSearchResults!$1:$1, 0))</f>
        <v>100s ea</v>
      </c>
    </row>
    <row r="77" spans="1:6" x14ac:dyDescent="0.15">
      <c r="A77" s="4">
        <f>REDBOOKSearchResults!Q40</f>
        <v>43291</v>
      </c>
      <c r="B77" s="7">
        <f>REDBOOKSearchResults!R40</f>
        <v>834.57380000000001</v>
      </c>
      <c r="C77" s="7">
        <f>REDBOOKSearchResults!S40</f>
        <v>5</v>
      </c>
      <c r="D77" s="4" t="str">
        <f>REDBOOKSearchResults!T40</f>
        <v>59572-0420-00</v>
      </c>
      <c r="E77" t="str">
        <f>INDEX(REDBOOKSearchResults!$N$2:$N$13, MATCH(D77, REDBOOKSearchResults!$L$2:$L$13, 0))</f>
        <v>20 mg</v>
      </c>
      <c r="F77" t="str">
        <f>INDEX(REDBOOKSearchResults!$A$1:$AK$100, MATCH($D77, REDBOOKSearchResults!$L$1:$L$100, 0), MATCH(F$2, REDBOOKSearchResults!$1:$1, 0))</f>
        <v>100s ea</v>
      </c>
    </row>
    <row r="78" spans="1:6" x14ac:dyDescent="0.15">
      <c r="A78" s="4">
        <f>REDBOOKSearchResults!Q41</f>
        <v>43028</v>
      </c>
      <c r="B78" s="7">
        <f>REDBOOKSearchResults!R41</f>
        <v>794.83209999999997</v>
      </c>
      <c r="C78" s="7">
        <f>REDBOOKSearchResults!S41</f>
        <v>9</v>
      </c>
      <c r="D78" s="4" t="str">
        <f>REDBOOKSearchResults!T41</f>
        <v>59572-0420-00</v>
      </c>
      <c r="E78" t="str">
        <f>INDEX(REDBOOKSearchResults!$N$2:$N$13, MATCH(D78, REDBOOKSearchResults!$L$2:$L$13, 0))</f>
        <v>20 mg</v>
      </c>
      <c r="F78" t="str">
        <f>INDEX(REDBOOKSearchResults!$A$1:$AK$100, MATCH($D78, REDBOOKSearchResults!$L$1:$L$100, 0), MATCH(F$2, REDBOOKSearchResults!$1:$1, 0))</f>
        <v>100s ea</v>
      </c>
    </row>
    <row r="79" spans="1:6" x14ac:dyDescent="0.15">
      <c r="A79" s="4">
        <f>REDBOOKSearchResults!Q42</f>
        <v>42927</v>
      </c>
      <c r="B79" s="7">
        <f>REDBOOKSearchResults!R42</f>
        <v>729.2038</v>
      </c>
      <c r="C79" s="7">
        <f>REDBOOKSearchResults!S42</f>
        <v>1.8</v>
      </c>
      <c r="D79" s="4" t="str">
        <f>REDBOOKSearchResults!T42</f>
        <v>59572-0420-00</v>
      </c>
      <c r="E79" t="str">
        <f>INDEX(REDBOOKSearchResults!$N$2:$N$13, MATCH(D79, REDBOOKSearchResults!$L$2:$L$13, 0))</f>
        <v>20 mg</v>
      </c>
      <c r="F79" t="str">
        <f>INDEX(REDBOOKSearchResults!$A$1:$AK$100, MATCH($D79, REDBOOKSearchResults!$L$1:$L$100, 0), MATCH(F$2, REDBOOKSearchResults!$1:$1, 0))</f>
        <v>100s ea</v>
      </c>
    </row>
    <row r="80" spans="1:6" x14ac:dyDescent="0.15">
      <c r="A80" s="4">
        <f>REDBOOKSearchResults!Q43</f>
        <v>42746</v>
      </c>
      <c r="B80" s="7">
        <f>REDBOOKSearchResults!R43</f>
        <v>716.66219999999998</v>
      </c>
      <c r="C80" s="7">
        <f>REDBOOKSearchResults!S43</f>
        <v>8</v>
      </c>
      <c r="D80" s="4" t="str">
        <f>REDBOOKSearchResults!T43</f>
        <v>59572-0420-00</v>
      </c>
      <c r="E80" t="str">
        <f>INDEX(REDBOOKSearchResults!$N$2:$N$13, MATCH(D80, REDBOOKSearchResults!$L$2:$L$13, 0))</f>
        <v>20 mg</v>
      </c>
      <c r="F80" t="str">
        <f>INDEX(REDBOOKSearchResults!$A$1:$AK$100, MATCH($D80, REDBOOKSearchResults!$L$1:$L$100, 0), MATCH(F$2, REDBOOKSearchResults!$1:$1, 0))</f>
        <v>100s ea</v>
      </c>
    </row>
    <row r="81" spans="1:6" x14ac:dyDescent="0.15">
      <c r="A81" s="4">
        <f>REDBOOKSearchResults!Q44</f>
        <v>42602</v>
      </c>
      <c r="B81" s="7">
        <f>REDBOOKSearchResults!R44</f>
        <v>663.57619999999997</v>
      </c>
      <c r="C81" s="7">
        <f>REDBOOKSearchResults!S44</f>
        <v>3</v>
      </c>
      <c r="D81" s="4" t="str">
        <f>REDBOOKSearchResults!T44</f>
        <v>59572-0420-00</v>
      </c>
      <c r="E81" t="str">
        <f>INDEX(REDBOOKSearchResults!$N$2:$N$13, MATCH(D81, REDBOOKSearchResults!$L$2:$L$13, 0))</f>
        <v>20 mg</v>
      </c>
      <c r="F81" t="str">
        <f>INDEX(REDBOOKSearchResults!$A$1:$AK$100, MATCH($D81, REDBOOKSearchResults!$L$1:$L$100, 0), MATCH(F$2, REDBOOKSearchResults!$1:$1, 0))</f>
        <v>100s ea</v>
      </c>
    </row>
    <row r="82" spans="1:6" x14ac:dyDescent="0.15">
      <c r="A82" s="4">
        <f>REDBOOKSearchResults!Q45</f>
        <v>42439</v>
      </c>
      <c r="B82" s="7">
        <f>REDBOOKSearchResults!R45</f>
        <v>644.24869999999999</v>
      </c>
      <c r="C82" s="7">
        <f>REDBOOKSearchResults!S45</f>
        <v>6.8</v>
      </c>
      <c r="D82" s="4" t="str">
        <f>REDBOOKSearchResults!T45</f>
        <v>59572-0420-00</v>
      </c>
      <c r="E82" t="str">
        <f>INDEX(REDBOOKSearchResults!$N$2:$N$13, MATCH(D82, REDBOOKSearchResults!$L$2:$L$13, 0))</f>
        <v>20 mg</v>
      </c>
      <c r="F82" t="str">
        <f>INDEX(REDBOOKSearchResults!$A$1:$AK$100, MATCH($D82, REDBOOKSearchResults!$L$1:$L$100, 0), MATCH(F$2, REDBOOKSearchResults!$1:$1, 0))</f>
        <v>100s ea</v>
      </c>
    </row>
    <row r="83" spans="1:6" x14ac:dyDescent="0.15">
      <c r="A83" s="4">
        <f>REDBOOKSearchResults!Q46</f>
        <v>42279</v>
      </c>
      <c r="B83" s="7">
        <f>REDBOOKSearchResults!R46</f>
        <v>603.22910000000002</v>
      </c>
      <c r="C83" s="7">
        <f>REDBOOKSearchResults!S46</f>
        <v>4</v>
      </c>
      <c r="D83" s="4" t="str">
        <f>REDBOOKSearchResults!T46</f>
        <v>59572-0420-00</v>
      </c>
      <c r="E83" t="str">
        <f>INDEX(REDBOOKSearchResults!$N$2:$N$13, MATCH(D83, REDBOOKSearchResults!$L$2:$L$13, 0))</f>
        <v>20 mg</v>
      </c>
      <c r="F83" t="str">
        <f>INDEX(REDBOOKSearchResults!$A$1:$AK$100, MATCH($D83, REDBOOKSearchResults!$L$1:$L$100, 0), MATCH(F$2, REDBOOKSearchResults!$1:$1, 0))</f>
        <v>100s ea</v>
      </c>
    </row>
    <row r="84" spans="1:6" x14ac:dyDescent="0.15">
      <c r="A84" s="4">
        <f>REDBOOKSearchResults!Q47</f>
        <v>42180</v>
      </c>
      <c r="B84" s="7">
        <f>REDBOOKSearchResults!R47</f>
        <v>580.02790000000005</v>
      </c>
      <c r="C84" s="7">
        <f>REDBOOKSearchResults!S47</f>
        <v>3</v>
      </c>
      <c r="D84" s="4" t="str">
        <f>REDBOOKSearchResults!T47</f>
        <v>59572-0420-00</v>
      </c>
      <c r="E84" t="str">
        <f>INDEX(REDBOOKSearchResults!$N$2:$N$13, MATCH(D84, REDBOOKSearchResults!$L$2:$L$13, 0))</f>
        <v>20 mg</v>
      </c>
      <c r="F84" t="str">
        <f>INDEX(REDBOOKSearchResults!$A$1:$AK$100, MATCH($D84, REDBOOKSearchResults!$L$1:$L$100, 0), MATCH(F$2, REDBOOKSearchResults!$1:$1, 0))</f>
        <v>100s ea</v>
      </c>
    </row>
    <row r="85" spans="1:6" x14ac:dyDescent="0.15">
      <c r="A85" s="4">
        <f>REDBOOKSearchResults!Q48</f>
        <v>41996</v>
      </c>
      <c r="B85" s="7">
        <f>REDBOOKSearchResults!R48</f>
        <v>563.13390000000004</v>
      </c>
      <c r="C85" s="7">
        <f>REDBOOKSearchResults!S48</f>
        <v>3</v>
      </c>
      <c r="D85" s="4" t="str">
        <f>REDBOOKSearchResults!T48</f>
        <v>59572-0420-00</v>
      </c>
      <c r="E85" t="str">
        <f>INDEX(REDBOOKSearchResults!$N$2:$N$13, MATCH(D85, REDBOOKSearchResults!$L$2:$L$13, 0))</f>
        <v>20 mg</v>
      </c>
      <c r="F85" t="str">
        <f>INDEX(REDBOOKSearchResults!$A$1:$AK$100, MATCH($D85, REDBOOKSearchResults!$L$1:$L$100, 0), MATCH(F$2, REDBOOKSearchResults!$1:$1, 0))</f>
        <v>100s ea</v>
      </c>
    </row>
    <row r="86" spans="1:6" x14ac:dyDescent="0.15">
      <c r="A86" s="4">
        <f>REDBOOKSearchResults!Q49</f>
        <v>41885</v>
      </c>
      <c r="B86" s="7">
        <f>REDBOOKSearchResults!R49</f>
        <v>546.73199999999997</v>
      </c>
      <c r="C86" s="7">
        <f>REDBOOKSearchResults!S49</f>
        <v>3</v>
      </c>
      <c r="D86" s="4" t="str">
        <f>REDBOOKSearchResults!T49</f>
        <v>59572-0420-00</v>
      </c>
      <c r="E86" t="str">
        <f>INDEX(REDBOOKSearchResults!$N$2:$N$13, MATCH(D86, REDBOOKSearchResults!$L$2:$L$13, 0))</f>
        <v>20 mg</v>
      </c>
      <c r="F86" t="str">
        <f>INDEX(REDBOOKSearchResults!$A$1:$AK$100, MATCH($D86, REDBOOKSearchResults!$L$1:$L$100, 0), MATCH(F$2, REDBOOKSearchResults!$1:$1, 0))</f>
        <v>100s ea</v>
      </c>
    </row>
    <row r="87" spans="1:6" x14ac:dyDescent="0.15">
      <c r="A87" s="4">
        <f>REDBOOKSearchResults!Q50</f>
        <v>41704</v>
      </c>
      <c r="B87" s="7">
        <f>REDBOOKSearchResults!R50</f>
        <v>530.81380000000001</v>
      </c>
      <c r="C87" s="7">
        <f>REDBOOKSearchResults!S50</f>
        <v>4</v>
      </c>
      <c r="D87" s="4" t="str">
        <f>REDBOOKSearchResults!T50</f>
        <v>59572-0420-00</v>
      </c>
      <c r="E87" t="str">
        <f>INDEX(REDBOOKSearchResults!$N$2:$N$13, MATCH(D87, REDBOOKSearchResults!$L$2:$L$13, 0))</f>
        <v>20 mg</v>
      </c>
      <c r="F87" t="str">
        <f>INDEX(REDBOOKSearchResults!$A$1:$AK$100, MATCH($D87, REDBOOKSearchResults!$L$1:$L$100, 0), MATCH(F$2, REDBOOKSearchResults!$1:$1, 0))</f>
        <v>100s ea</v>
      </c>
    </row>
    <row r="88" spans="1:6" x14ac:dyDescent="0.15">
      <c r="A88" s="4">
        <f>REDBOOKSearchResults!Q51</f>
        <v>41548</v>
      </c>
      <c r="B88" s="7">
        <f>REDBOOKSearchResults!R51</f>
        <v>510.39780000000002</v>
      </c>
      <c r="C88" s="7">
        <f>REDBOOKSearchResults!S51</f>
        <v>3</v>
      </c>
      <c r="D88" s="4" t="str">
        <f>REDBOOKSearchResults!T51</f>
        <v>59572-0420-00</v>
      </c>
      <c r="E88" t="str">
        <f>INDEX(REDBOOKSearchResults!$N$2:$N$13, MATCH(D88, REDBOOKSearchResults!$L$2:$L$13, 0))</f>
        <v>20 mg</v>
      </c>
      <c r="F88" t="str">
        <f>INDEX(REDBOOKSearchResults!$A$1:$AK$100, MATCH($D88, REDBOOKSearchResults!$L$1:$L$100, 0), MATCH(F$2, REDBOOKSearchResults!$1:$1, 0))</f>
        <v>100s ea</v>
      </c>
    </row>
    <row r="89" spans="1:6" x14ac:dyDescent="0.15">
      <c r="A89" s="4">
        <f>REDBOOKSearchResults!Q52</f>
        <v>41443</v>
      </c>
      <c r="B89" s="7">
        <f>REDBOOKSearchResults!R52</f>
        <v>495.53179999999998</v>
      </c>
      <c r="C89" s="7">
        <f>REDBOOKSearchResults!S52</f>
        <v>0</v>
      </c>
      <c r="D89" s="4" t="str">
        <f>REDBOOKSearchResults!T52</f>
        <v>59572-0420-00</v>
      </c>
      <c r="E89" t="str">
        <f>INDEX(REDBOOKSearchResults!$N$2:$N$13, MATCH(D89, REDBOOKSearchResults!$L$2:$L$13, 0))</f>
        <v>20 mg</v>
      </c>
      <c r="F89" t="str">
        <f>INDEX(REDBOOKSearchResults!$A$1:$AK$100, MATCH($D89, REDBOOKSearchResults!$L$1:$L$100, 0), MATCH(F$2, REDBOOKSearchResults!$1:$1, 0))</f>
        <v>100s ea</v>
      </c>
    </row>
    <row r="90" spans="1:6" x14ac:dyDescent="0.15">
      <c r="A90" s="4">
        <f>REDBOOKSearchResults!V35</f>
        <v>45474</v>
      </c>
      <c r="B90" s="7">
        <f>REDBOOKSearchResults!W35</f>
        <v>1069.8607999999999</v>
      </c>
      <c r="C90" s="7">
        <f>REDBOOKSearchResults!X35</f>
        <v>7</v>
      </c>
      <c r="D90" s="4" t="str">
        <f>REDBOOKSearchResults!Y35</f>
        <v>59572-0402-00</v>
      </c>
      <c r="E90" t="str">
        <f>INDEX(REDBOOKSearchResults!$N$2:$N$13, MATCH(D90, REDBOOKSearchResults!$L$2:$L$13, 0))</f>
        <v>2.5 mg</v>
      </c>
      <c r="F90" t="str">
        <f>INDEX(REDBOOKSearchResults!$A$1:$AK$100, MATCH($D90, REDBOOKSearchResults!$L$1:$L$100, 0), MATCH(F$2, REDBOOKSearchResults!$1:$1, 0))</f>
        <v>100s ea</v>
      </c>
    </row>
    <row r="91" spans="1:6" x14ac:dyDescent="0.15">
      <c r="A91" s="4">
        <f>REDBOOKSearchResults!V36</f>
        <v>44562</v>
      </c>
      <c r="B91" s="7">
        <f>REDBOOKSearchResults!W36</f>
        <v>999.86990000000003</v>
      </c>
      <c r="C91" s="7">
        <f>REDBOOKSearchResults!X36</f>
        <v>4.5</v>
      </c>
      <c r="D91" s="4" t="str">
        <f>REDBOOKSearchResults!Y36</f>
        <v>59572-0402-00</v>
      </c>
      <c r="E91" t="str">
        <f>INDEX(REDBOOKSearchResults!$N$2:$N$13, MATCH(D91, REDBOOKSearchResults!$L$2:$L$13, 0))</f>
        <v>2.5 mg</v>
      </c>
      <c r="F91" t="str">
        <f>INDEX(REDBOOKSearchResults!$A$1:$AK$100, MATCH($D91, REDBOOKSearchResults!$L$1:$L$100, 0), MATCH(F$2, REDBOOKSearchResults!$1:$1, 0))</f>
        <v>100s ea</v>
      </c>
    </row>
    <row r="92" spans="1:6" x14ac:dyDescent="0.15">
      <c r="A92" s="4">
        <f>REDBOOKSearchResults!V37</f>
        <v>44197</v>
      </c>
      <c r="B92" s="7">
        <f>REDBOOKSearchResults!W37</f>
        <v>956.81330000000003</v>
      </c>
      <c r="C92" s="7">
        <f>REDBOOKSearchResults!X37</f>
        <v>4.5</v>
      </c>
      <c r="D92" s="4" t="str">
        <f>REDBOOKSearchResults!Y37</f>
        <v>59572-0402-00</v>
      </c>
      <c r="E92" t="str">
        <f>INDEX(REDBOOKSearchResults!$N$2:$N$13, MATCH(D92, REDBOOKSearchResults!$L$2:$L$13, 0))</f>
        <v>2.5 mg</v>
      </c>
      <c r="F92" t="str">
        <f>INDEX(REDBOOKSearchResults!$A$1:$AK$100, MATCH($D92, REDBOOKSearchResults!$L$1:$L$100, 0), MATCH(F$2, REDBOOKSearchResults!$1:$1, 0))</f>
        <v>100s ea</v>
      </c>
    </row>
    <row r="93" spans="1:6" x14ac:dyDescent="0.15">
      <c r="A93" s="4">
        <f>REDBOOKSearchResults!V38</f>
        <v>43831</v>
      </c>
      <c r="B93" s="7">
        <f>REDBOOKSearchResults!W38</f>
        <v>915.61080000000004</v>
      </c>
      <c r="C93" s="7">
        <f>REDBOOKSearchResults!X38</f>
        <v>6</v>
      </c>
      <c r="D93" s="4" t="str">
        <f>REDBOOKSearchResults!Y38</f>
        <v>59572-0402-00</v>
      </c>
      <c r="E93" t="str">
        <f>INDEX(REDBOOKSearchResults!$N$2:$N$13, MATCH(D93, REDBOOKSearchResults!$L$2:$L$13, 0))</f>
        <v>2.5 mg</v>
      </c>
      <c r="F93" t="str">
        <f>INDEX(REDBOOKSearchResults!$A$1:$AK$100, MATCH($D93, REDBOOKSearchResults!$L$1:$L$100, 0), MATCH(F$2, REDBOOKSearchResults!$1:$1, 0))</f>
        <v>100s ea</v>
      </c>
    </row>
    <row r="94" spans="1:6" x14ac:dyDescent="0.15">
      <c r="A94" s="4">
        <f>REDBOOKSearchResults!V39</f>
        <v>43468</v>
      </c>
      <c r="B94" s="7">
        <f>REDBOOKSearchResults!W39</f>
        <v>863.78380000000004</v>
      </c>
      <c r="C94" s="7">
        <f>REDBOOKSearchResults!X39</f>
        <v>3.5</v>
      </c>
      <c r="D94" s="4" t="str">
        <f>REDBOOKSearchResults!Y39</f>
        <v>59572-0402-00</v>
      </c>
      <c r="E94" t="str">
        <f>INDEX(REDBOOKSearchResults!$N$2:$N$13, MATCH(D94, REDBOOKSearchResults!$L$2:$L$13, 0))</f>
        <v>2.5 mg</v>
      </c>
      <c r="F94" t="str">
        <f>INDEX(REDBOOKSearchResults!$A$1:$AK$100, MATCH($D94, REDBOOKSearchResults!$L$1:$L$100, 0), MATCH(F$2, REDBOOKSearchResults!$1:$1, 0))</f>
        <v>100s ea</v>
      </c>
    </row>
    <row r="95" spans="1:6" x14ac:dyDescent="0.15">
      <c r="A95" s="4">
        <f>REDBOOKSearchResults!V40</f>
        <v>43291</v>
      </c>
      <c r="B95" s="7">
        <f>REDBOOKSearchResults!W40</f>
        <v>834.57380000000001</v>
      </c>
      <c r="C95" s="7">
        <f>REDBOOKSearchResults!X40</f>
        <v>5</v>
      </c>
      <c r="D95" s="4" t="str">
        <f>REDBOOKSearchResults!Y40</f>
        <v>59572-0402-00</v>
      </c>
      <c r="E95" t="str">
        <f>INDEX(REDBOOKSearchResults!$N$2:$N$13, MATCH(D95, REDBOOKSearchResults!$L$2:$L$13, 0))</f>
        <v>2.5 mg</v>
      </c>
      <c r="F95" t="str">
        <f>INDEX(REDBOOKSearchResults!$A$1:$AK$100, MATCH($D95, REDBOOKSearchResults!$L$1:$L$100, 0), MATCH(F$2, REDBOOKSearchResults!$1:$1, 0))</f>
        <v>100s ea</v>
      </c>
    </row>
    <row r="96" spans="1:6" x14ac:dyDescent="0.15">
      <c r="A96" s="4">
        <f>REDBOOKSearchResults!V41</f>
        <v>43028</v>
      </c>
      <c r="B96" s="7">
        <f>REDBOOKSearchResults!W41</f>
        <v>794.83209999999997</v>
      </c>
      <c r="C96" s="7">
        <f>REDBOOKSearchResults!X41</f>
        <v>9</v>
      </c>
      <c r="D96" s="4" t="str">
        <f>REDBOOKSearchResults!Y41</f>
        <v>59572-0402-00</v>
      </c>
      <c r="E96" t="str">
        <f>INDEX(REDBOOKSearchResults!$N$2:$N$13, MATCH(D96, REDBOOKSearchResults!$L$2:$L$13, 0))</f>
        <v>2.5 mg</v>
      </c>
      <c r="F96" t="str">
        <f>INDEX(REDBOOKSearchResults!$A$1:$AK$100, MATCH($D96, REDBOOKSearchResults!$L$1:$L$100, 0), MATCH(F$2, REDBOOKSearchResults!$1:$1, 0))</f>
        <v>100s ea</v>
      </c>
    </row>
    <row r="97" spans="1:6" x14ac:dyDescent="0.15">
      <c r="A97" s="4">
        <f>REDBOOKSearchResults!V42</f>
        <v>42927</v>
      </c>
      <c r="B97" s="7">
        <f>REDBOOKSearchResults!W42</f>
        <v>729.2038</v>
      </c>
      <c r="C97" s="7">
        <f>REDBOOKSearchResults!X42</f>
        <v>1.8</v>
      </c>
      <c r="D97" s="4" t="str">
        <f>REDBOOKSearchResults!Y42</f>
        <v>59572-0402-00</v>
      </c>
      <c r="E97" t="str">
        <f>INDEX(REDBOOKSearchResults!$N$2:$N$13, MATCH(D97, REDBOOKSearchResults!$L$2:$L$13, 0))</f>
        <v>2.5 mg</v>
      </c>
      <c r="F97" t="str">
        <f>INDEX(REDBOOKSearchResults!$A$1:$AK$100, MATCH($D97, REDBOOKSearchResults!$L$1:$L$100, 0), MATCH(F$2, REDBOOKSearchResults!$1:$1, 0))</f>
        <v>100s ea</v>
      </c>
    </row>
    <row r="98" spans="1:6" x14ac:dyDescent="0.15">
      <c r="A98" s="4">
        <f>REDBOOKSearchResults!V43</f>
        <v>42746</v>
      </c>
      <c r="B98" s="7">
        <f>REDBOOKSearchResults!W43</f>
        <v>716.66219999999998</v>
      </c>
      <c r="C98" s="7">
        <f>REDBOOKSearchResults!X43</f>
        <v>8</v>
      </c>
      <c r="D98" s="4" t="str">
        <f>REDBOOKSearchResults!Y43</f>
        <v>59572-0402-00</v>
      </c>
      <c r="E98" t="str">
        <f>INDEX(REDBOOKSearchResults!$N$2:$N$13, MATCH(D98, REDBOOKSearchResults!$L$2:$L$13, 0))</f>
        <v>2.5 mg</v>
      </c>
      <c r="F98" t="str">
        <f>INDEX(REDBOOKSearchResults!$A$1:$AK$100, MATCH($D98, REDBOOKSearchResults!$L$1:$L$100, 0), MATCH(F$2, REDBOOKSearchResults!$1:$1, 0))</f>
        <v>100s ea</v>
      </c>
    </row>
    <row r="99" spans="1:6" x14ac:dyDescent="0.15">
      <c r="A99" s="4">
        <f>REDBOOKSearchResults!V44</f>
        <v>42602</v>
      </c>
      <c r="B99" s="7">
        <f>REDBOOKSearchResults!W44</f>
        <v>663.57619999999997</v>
      </c>
      <c r="C99" s="7">
        <f>REDBOOKSearchResults!X44</f>
        <v>3</v>
      </c>
      <c r="D99" s="4" t="str">
        <f>REDBOOKSearchResults!Y44</f>
        <v>59572-0402-00</v>
      </c>
      <c r="E99" t="str">
        <f>INDEX(REDBOOKSearchResults!$N$2:$N$13, MATCH(D99, REDBOOKSearchResults!$L$2:$L$13, 0))</f>
        <v>2.5 mg</v>
      </c>
      <c r="F99" t="str">
        <f>INDEX(REDBOOKSearchResults!$A$1:$AK$100, MATCH($D99, REDBOOKSearchResults!$L$1:$L$100, 0), MATCH(F$2, REDBOOKSearchResults!$1:$1, 0))</f>
        <v>100s ea</v>
      </c>
    </row>
    <row r="100" spans="1:6" x14ac:dyDescent="0.15">
      <c r="A100" s="4">
        <f>REDBOOKSearchResults!V45</f>
        <v>42439</v>
      </c>
      <c r="B100" s="7">
        <f>REDBOOKSearchResults!W45</f>
        <v>644.24869999999999</v>
      </c>
      <c r="C100" s="7">
        <f>REDBOOKSearchResults!X45</f>
        <v>6.8</v>
      </c>
      <c r="D100" s="4" t="str">
        <f>REDBOOKSearchResults!Y45</f>
        <v>59572-0402-00</v>
      </c>
      <c r="E100" t="str">
        <f>INDEX(REDBOOKSearchResults!$N$2:$N$13, MATCH(D100, REDBOOKSearchResults!$L$2:$L$13, 0))</f>
        <v>2.5 mg</v>
      </c>
      <c r="F100" t="str">
        <f>INDEX(REDBOOKSearchResults!$A$1:$AK$100, MATCH($D100, REDBOOKSearchResults!$L$1:$L$100, 0), MATCH(F$2, REDBOOKSearchResults!$1:$1, 0))</f>
        <v>100s ea</v>
      </c>
    </row>
    <row r="101" spans="1:6" x14ac:dyDescent="0.15">
      <c r="A101" s="4">
        <f>REDBOOKSearchResults!V46</f>
        <v>42279</v>
      </c>
      <c r="B101" s="7">
        <f>REDBOOKSearchResults!W46</f>
        <v>603.22910000000002</v>
      </c>
      <c r="C101" s="7">
        <f>REDBOOKSearchResults!X46</f>
        <v>4</v>
      </c>
      <c r="D101" s="4" t="str">
        <f>REDBOOKSearchResults!Y46</f>
        <v>59572-0402-00</v>
      </c>
      <c r="E101" t="str">
        <f>INDEX(REDBOOKSearchResults!$N$2:$N$13, MATCH(D101, REDBOOKSearchResults!$L$2:$L$13, 0))</f>
        <v>2.5 mg</v>
      </c>
      <c r="F101" t="str">
        <f>INDEX(REDBOOKSearchResults!$A$1:$AK$100, MATCH($D101, REDBOOKSearchResults!$L$1:$L$100, 0), MATCH(F$2, REDBOOKSearchResults!$1:$1, 0))</f>
        <v>100s ea</v>
      </c>
    </row>
    <row r="102" spans="1:6" x14ac:dyDescent="0.15">
      <c r="A102" s="4">
        <f>REDBOOKSearchResults!V47</f>
        <v>42180</v>
      </c>
      <c r="B102" s="7">
        <f>REDBOOKSearchResults!W47</f>
        <v>580.02790000000005</v>
      </c>
      <c r="C102" s="7">
        <f>REDBOOKSearchResults!X47</f>
        <v>3</v>
      </c>
      <c r="D102" s="4" t="str">
        <f>REDBOOKSearchResults!Y47</f>
        <v>59572-0402-00</v>
      </c>
      <c r="E102" t="str">
        <f>INDEX(REDBOOKSearchResults!$N$2:$N$13, MATCH(D102, REDBOOKSearchResults!$L$2:$L$13, 0))</f>
        <v>2.5 mg</v>
      </c>
      <c r="F102" t="str">
        <f>INDEX(REDBOOKSearchResults!$A$1:$AK$100, MATCH($D102, REDBOOKSearchResults!$L$1:$L$100, 0), MATCH(F$2, REDBOOKSearchResults!$1:$1, 0))</f>
        <v>100s ea</v>
      </c>
    </row>
    <row r="103" spans="1:6" x14ac:dyDescent="0.15">
      <c r="A103" s="4">
        <f>REDBOOKSearchResults!V48</f>
        <v>41996</v>
      </c>
      <c r="B103" s="7">
        <f>REDBOOKSearchResults!W48</f>
        <v>563.13390000000004</v>
      </c>
      <c r="C103" s="7">
        <f>REDBOOKSearchResults!X48</f>
        <v>3</v>
      </c>
      <c r="D103" s="4" t="str">
        <f>REDBOOKSearchResults!Y48</f>
        <v>59572-0402-00</v>
      </c>
      <c r="E103" t="str">
        <f>INDEX(REDBOOKSearchResults!$N$2:$N$13, MATCH(D103, REDBOOKSearchResults!$L$2:$L$13, 0))</f>
        <v>2.5 mg</v>
      </c>
      <c r="F103" t="str">
        <f>INDEX(REDBOOKSearchResults!$A$1:$AK$100, MATCH($D103, REDBOOKSearchResults!$L$1:$L$100, 0), MATCH(F$2, REDBOOKSearchResults!$1:$1, 0))</f>
        <v>100s ea</v>
      </c>
    </row>
    <row r="104" spans="1:6" x14ac:dyDescent="0.15">
      <c r="A104" s="4">
        <f>REDBOOKSearchResults!V49</f>
        <v>41885</v>
      </c>
      <c r="B104" s="7">
        <f>REDBOOKSearchResults!W49</f>
        <v>546.73199999999997</v>
      </c>
      <c r="C104" s="7">
        <f>REDBOOKSearchResults!X49</f>
        <v>6.2</v>
      </c>
      <c r="D104" s="4" t="str">
        <f>REDBOOKSearchResults!Y49</f>
        <v>59572-0402-00</v>
      </c>
      <c r="E104" t="str">
        <f>INDEX(REDBOOKSearchResults!$N$2:$N$13, MATCH(D104, REDBOOKSearchResults!$L$2:$L$13, 0))</f>
        <v>2.5 mg</v>
      </c>
      <c r="F104" t="str">
        <f>INDEX(REDBOOKSearchResults!$A$1:$AK$100, MATCH($D104, REDBOOKSearchResults!$L$1:$L$100, 0), MATCH(F$2, REDBOOKSearchResults!$1:$1, 0))</f>
        <v>100s ea</v>
      </c>
    </row>
    <row r="105" spans="1:6" x14ac:dyDescent="0.15">
      <c r="A105" s="4">
        <f>REDBOOKSearchResults!V50</f>
        <v>41704</v>
      </c>
      <c r="B105" s="7">
        <f>REDBOOKSearchResults!W50</f>
        <v>514.6721</v>
      </c>
      <c r="C105" s="7">
        <f>REDBOOKSearchResults!X50</f>
        <v>4</v>
      </c>
      <c r="D105" s="4" t="str">
        <f>REDBOOKSearchResults!Y50</f>
        <v>59572-0402-00</v>
      </c>
      <c r="E105" t="str">
        <f>INDEX(REDBOOKSearchResults!$N$2:$N$13, MATCH(D105, REDBOOKSearchResults!$L$2:$L$13, 0))</f>
        <v>2.5 mg</v>
      </c>
      <c r="F105" t="str">
        <f>INDEX(REDBOOKSearchResults!$A$1:$AK$100, MATCH($D105, REDBOOKSearchResults!$L$1:$L$100, 0), MATCH(F$2, REDBOOKSearchResults!$1:$1, 0))</f>
        <v>100s ea</v>
      </c>
    </row>
    <row r="106" spans="1:6" x14ac:dyDescent="0.15">
      <c r="A106" s="4">
        <f>REDBOOKSearchResults!V51</f>
        <v>41548</v>
      </c>
      <c r="B106" s="7">
        <f>REDBOOKSearchResults!W51</f>
        <v>494.87700000000001</v>
      </c>
      <c r="C106" s="7">
        <f>REDBOOKSearchResults!X51</f>
        <v>3</v>
      </c>
      <c r="D106" s="4" t="str">
        <f>REDBOOKSearchResults!Y51</f>
        <v>59572-0402-00</v>
      </c>
      <c r="E106" t="str">
        <f>INDEX(REDBOOKSearchResults!$N$2:$N$13, MATCH(D106, REDBOOKSearchResults!$L$2:$L$13, 0))</f>
        <v>2.5 mg</v>
      </c>
      <c r="F106" t="str">
        <f>INDEX(REDBOOKSearchResults!$A$1:$AK$100, MATCH($D106, REDBOOKSearchResults!$L$1:$L$100, 0), MATCH(F$2, REDBOOKSearchResults!$1:$1, 0))</f>
        <v>100s ea</v>
      </c>
    </row>
    <row r="107" spans="1:6" x14ac:dyDescent="0.15">
      <c r="A107" s="4">
        <f>REDBOOKSearchResults!V52</f>
        <v>41363</v>
      </c>
      <c r="B107" s="7">
        <f>REDBOOKSearchResults!W52</f>
        <v>480.4631</v>
      </c>
      <c r="C107" s="7">
        <f>REDBOOKSearchResults!X52</f>
        <v>3</v>
      </c>
      <c r="D107" s="4" t="str">
        <f>REDBOOKSearchResults!Y52</f>
        <v>59572-0402-00</v>
      </c>
      <c r="E107" t="str">
        <f>INDEX(REDBOOKSearchResults!$N$2:$N$13, MATCH(D107, REDBOOKSearchResults!$L$2:$L$13, 0))</f>
        <v>2.5 mg</v>
      </c>
      <c r="F107" t="str">
        <f>INDEX(REDBOOKSearchResults!$A$1:$AK$100, MATCH($D107, REDBOOKSearchResults!$L$1:$L$100, 0), MATCH(F$2, REDBOOKSearchResults!$1:$1, 0))</f>
        <v>100s ea</v>
      </c>
    </row>
    <row r="108" spans="1:6" x14ac:dyDescent="0.15">
      <c r="A108" s="4">
        <f>REDBOOKSearchResults!V53</f>
        <v>41214</v>
      </c>
      <c r="B108" s="7">
        <f>REDBOOKSearchResults!W53</f>
        <v>466.46910000000003</v>
      </c>
      <c r="C108" s="7">
        <f>REDBOOKSearchResults!X53</f>
        <v>6</v>
      </c>
      <c r="D108" s="4" t="str">
        <f>REDBOOKSearchResults!Y53</f>
        <v>59572-0402-00</v>
      </c>
      <c r="E108" t="str">
        <f>INDEX(REDBOOKSearchResults!$N$2:$N$13, MATCH(D108, REDBOOKSearchResults!$L$2:$L$13, 0))</f>
        <v>2.5 mg</v>
      </c>
      <c r="F108" t="str">
        <f>INDEX(REDBOOKSearchResults!$A$1:$AK$100, MATCH($D108, REDBOOKSearchResults!$L$1:$L$100, 0), MATCH(F$2, REDBOOKSearchResults!$1:$1, 0))</f>
        <v>100s ea</v>
      </c>
    </row>
    <row r="109" spans="1:6" x14ac:dyDescent="0.15">
      <c r="A109" s="4">
        <f>REDBOOKSearchResults!V54</f>
        <v>41015</v>
      </c>
      <c r="B109" s="7">
        <f>REDBOOKSearchResults!W54</f>
        <v>440.06509999999997</v>
      </c>
      <c r="C109" s="7">
        <f>REDBOOKSearchResults!X54</f>
        <v>0</v>
      </c>
      <c r="D109" s="4" t="str">
        <f>REDBOOKSearchResults!Y54</f>
        <v>59572-0402-00</v>
      </c>
      <c r="E109" t="str">
        <f>INDEX(REDBOOKSearchResults!$N$2:$N$13, MATCH(D109, REDBOOKSearchResults!$L$2:$L$13, 0))</f>
        <v>2.5 mg</v>
      </c>
      <c r="F109" t="str">
        <f>INDEX(REDBOOKSearchResults!$A$1:$AK$100, MATCH($D109, REDBOOKSearchResults!$L$1:$L$100, 0), MATCH(F$2, REDBOOKSearchResults!$1:$1, 0))</f>
        <v>100s ea</v>
      </c>
    </row>
    <row r="110" spans="1:6" x14ac:dyDescent="0.15">
      <c r="A110" s="4">
        <f>REDBOOKSearchResults!AA35</f>
        <v>45474</v>
      </c>
      <c r="B110" s="7">
        <f>REDBOOKSearchResults!AB35</f>
        <v>1069.8599999999999</v>
      </c>
      <c r="C110" s="7">
        <f>REDBOOKSearchResults!AC35</f>
        <v>7</v>
      </c>
      <c r="D110" s="4" t="str">
        <f>REDBOOKSearchResults!AD35</f>
        <v>59572-0402-28</v>
      </c>
      <c r="E110" t="str">
        <f>INDEX(REDBOOKSearchResults!$N$2:$N$13, MATCH(D110, REDBOOKSearchResults!$L$2:$L$13, 0))</f>
        <v>2.5 mg</v>
      </c>
      <c r="F110" t="str">
        <f>INDEX(REDBOOKSearchResults!$A$1:$AK$100, MATCH($D110, REDBOOKSearchResults!$L$1:$L$100, 0), MATCH(F$2, REDBOOKSearchResults!$1:$1, 0))</f>
        <v>28s ea</v>
      </c>
    </row>
    <row r="111" spans="1:6" x14ac:dyDescent="0.15">
      <c r="A111" s="4">
        <f>REDBOOKSearchResults!AA36</f>
        <v>44562</v>
      </c>
      <c r="B111" s="7">
        <f>REDBOOKSearchResults!AB36</f>
        <v>999.86928999999998</v>
      </c>
      <c r="C111" s="7">
        <f>REDBOOKSearchResults!AC36</f>
        <v>4.5</v>
      </c>
      <c r="D111" s="4" t="str">
        <f>REDBOOKSearchResults!AD36</f>
        <v>59572-0402-28</v>
      </c>
      <c r="E111" t="str">
        <f>INDEX(REDBOOKSearchResults!$N$2:$N$13, MATCH(D111, REDBOOKSearchResults!$L$2:$L$13, 0))</f>
        <v>2.5 mg</v>
      </c>
      <c r="F111" t="str">
        <f>INDEX(REDBOOKSearchResults!$A$1:$AK$100, MATCH($D111, REDBOOKSearchResults!$L$1:$L$100, 0), MATCH(F$2, REDBOOKSearchResults!$1:$1, 0))</f>
        <v>28s ea</v>
      </c>
    </row>
    <row r="112" spans="1:6" x14ac:dyDescent="0.15">
      <c r="A112" s="4">
        <f>REDBOOKSearchResults!AA37</f>
        <v>44197</v>
      </c>
      <c r="B112" s="7">
        <f>REDBOOKSearchResults!AB37</f>
        <v>956.81286</v>
      </c>
      <c r="C112" s="7">
        <f>REDBOOKSearchResults!AC37</f>
        <v>4.5</v>
      </c>
      <c r="D112" s="4" t="str">
        <f>REDBOOKSearchResults!AD37</f>
        <v>59572-0402-28</v>
      </c>
      <c r="E112" t="str">
        <f>INDEX(REDBOOKSearchResults!$N$2:$N$13, MATCH(D112, REDBOOKSearchResults!$L$2:$L$13, 0))</f>
        <v>2.5 mg</v>
      </c>
      <c r="F112" t="str">
        <f>INDEX(REDBOOKSearchResults!$A$1:$AK$100, MATCH($D112, REDBOOKSearchResults!$L$1:$L$100, 0), MATCH(F$2, REDBOOKSearchResults!$1:$1, 0))</f>
        <v>28s ea</v>
      </c>
    </row>
    <row r="113" spans="1:6" x14ac:dyDescent="0.15">
      <c r="A113" s="4">
        <f>REDBOOKSearchResults!AA38</f>
        <v>43831</v>
      </c>
      <c r="B113" s="7">
        <f>REDBOOKSearchResults!AB38</f>
        <v>915.61036000000001</v>
      </c>
      <c r="C113" s="7">
        <f>REDBOOKSearchResults!AC38</f>
        <v>6</v>
      </c>
      <c r="D113" s="4" t="str">
        <f>REDBOOKSearchResults!AD38</f>
        <v>59572-0402-28</v>
      </c>
      <c r="E113" t="str">
        <f>INDEX(REDBOOKSearchResults!$N$2:$N$13, MATCH(D113, REDBOOKSearchResults!$L$2:$L$13, 0))</f>
        <v>2.5 mg</v>
      </c>
      <c r="F113" t="str">
        <f>INDEX(REDBOOKSearchResults!$A$1:$AK$100, MATCH($D113, REDBOOKSearchResults!$L$1:$L$100, 0), MATCH(F$2, REDBOOKSearchResults!$1:$1, 0))</f>
        <v>28s ea</v>
      </c>
    </row>
    <row r="114" spans="1:6" x14ac:dyDescent="0.15">
      <c r="A114" s="4">
        <f>REDBOOKSearchResults!AA39</f>
        <v>43468</v>
      </c>
      <c r="B114" s="7">
        <f>REDBOOKSearchResults!AB39</f>
        <v>863.78321000000005</v>
      </c>
      <c r="C114" s="7">
        <f>REDBOOKSearchResults!AC39</f>
        <v>3.5</v>
      </c>
      <c r="D114" s="4" t="str">
        <f>REDBOOKSearchResults!AD39</f>
        <v>59572-0402-28</v>
      </c>
      <c r="E114" t="str">
        <f>INDEX(REDBOOKSearchResults!$N$2:$N$13, MATCH(D114, REDBOOKSearchResults!$L$2:$L$13, 0))</f>
        <v>2.5 mg</v>
      </c>
      <c r="F114" t="str">
        <f>INDEX(REDBOOKSearchResults!$A$1:$AK$100, MATCH($D114, REDBOOKSearchResults!$L$1:$L$100, 0), MATCH(F$2, REDBOOKSearchResults!$1:$1, 0))</f>
        <v>28s ea</v>
      </c>
    </row>
    <row r="115" spans="1:6" x14ac:dyDescent="0.15">
      <c r="A115" s="4">
        <f>REDBOOKSearchResults!AA40</f>
        <v>43291</v>
      </c>
      <c r="B115" s="7">
        <f>REDBOOKSearchResults!AB40</f>
        <v>834.57285999999999</v>
      </c>
      <c r="C115" s="7">
        <f>REDBOOKSearchResults!AC40</f>
        <v>5</v>
      </c>
      <c r="D115" s="4" t="str">
        <f>REDBOOKSearchResults!AD40</f>
        <v>59572-0402-28</v>
      </c>
      <c r="E115" t="str">
        <f>INDEX(REDBOOKSearchResults!$N$2:$N$13, MATCH(D115, REDBOOKSearchResults!$L$2:$L$13, 0))</f>
        <v>2.5 mg</v>
      </c>
      <c r="F115" t="str">
        <f>INDEX(REDBOOKSearchResults!$A$1:$AK$100, MATCH($D115, REDBOOKSearchResults!$L$1:$L$100, 0), MATCH(F$2, REDBOOKSearchResults!$1:$1, 0))</f>
        <v>28s ea</v>
      </c>
    </row>
    <row r="116" spans="1:6" x14ac:dyDescent="0.15">
      <c r="A116" s="4">
        <f>REDBOOKSearchResults!AA41</f>
        <v>43028</v>
      </c>
      <c r="B116" s="7">
        <f>REDBOOKSearchResults!AB41</f>
        <v>794.83178999999996</v>
      </c>
      <c r="C116" s="7">
        <f>REDBOOKSearchResults!AC41</f>
        <v>9</v>
      </c>
      <c r="D116" s="4" t="str">
        <f>REDBOOKSearchResults!AD41</f>
        <v>59572-0402-28</v>
      </c>
      <c r="E116" t="str">
        <f>INDEX(REDBOOKSearchResults!$N$2:$N$13, MATCH(D116, REDBOOKSearchResults!$L$2:$L$13, 0))</f>
        <v>2.5 mg</v>
      </c>
      <c r="F116" t="str">
        <f>INDEX(REDBOOKSearchResults!$A$1:$AK$100, MATCH($D116, REDBOOKSearchResults!$L$1:$L$100, 0), MATCH(F$2, REDBOOKSearchResults!$1:$1, 0))</f>
        <v>28s ea</v>
      </c>
    </row>
    <row r="117" spans="1:6" x14ac:dyDescent="0.15">
      <c r="A117" s="4">
        <f>REDBOOKSearchResults!AA42</f>
        <v>42927</v>
      </c>
      <c r="B117" s="7">
        <f>REDBOOKSearchResults!AB42</f>
        <v>729.20321000000001</v>
      </c>
      <c r="C117" s="7">
        <f>REDBOOKSearchResults!AC42</f>
        <v>1.8</v>
      </c>
      <c r="D117" s="4" t="str">
        <f>REDBOOKSearchResults!AD42</f>
        <v>59572-0402-28</v>
      </c>
      <c r="E117" t="str">
        <f>INDEX(REDBOOKSearchResults!$N$2:$N$13, MATCH(D117, REDBOOKSearchResults!$L$2:$L$13, 0))</f>
        <v>2.5 mg</v>
      </c>
      <c r="F117" t="str">
        <f>INDEX(REDBOOKSearchResults!$A$1:$AK$100, MATCH($D117, REDBOOKSearchResults!$L$1:$L$100, 0), MATCH(F$2, REDBOOKSearchResults!$1:$1, 0))</f>
        <v>28s ea</v>
      </c>
    </row>
    <row r="118" spans="1:6" x14ac:dyDescent="0.15">
      <c r="A118" s="4">
        <f>REDBOOKSearchResults!AA43</f>
        <v>42746</v>
      </c>
      <c r="B118" s="7">
        <f>REDBOOKSearchResults!AB43</f>
        <v>716.66143</v>
      </c>
      <c r="C118" s="7">
        <f>REDBOOKSearchResults!AC43</f>
        <v>8</v>
      </c>
      <c r="D118" s="4" t="str">
        <f>REDBOOKSearchResults!AD43</f>
        <v>59572-0402-28</v>
      </c>
      <c r="E118" t="str">
        <f>INDEX(REDBOOKSearchResults!$N$2:$N$13, MATCH(D118, REDBOOKSearchResults!$L$2:$L$13, 0))</f>
        <v>2.5 mg</v>
      </c>
      <c r="F118" t="str">
        <f>INDEX(REDBOOKSearchResults!$A$1:$AK$100, MATCH($D118, REDBOOKSearchResults!$L$1:$L$100, 0), MATCH(F$2, REDBOOKSearchResults!$1:$1, 0))</f>
        <v>28s ea</v>
      </c>
    </row>
    <row r="119" spans="1:6" x14ac:dyDescent="0.15">
      <c r="A119" s="4">
        <f>REDBOOKSearchResults!AA44</f>
        <v>42602</v>
      </c>
      <c r="B119" s="7">
        <f>REDBOOKSearchResults!AB44</f>
        <v>663.57570999999996</v>
      </c>
      <c r="C119" s="7">
        <f>REDBOOKSearchResults!AC44</f>
        <v>3</v>
      </c>
      <c r="D119" s="4" t="str">
        <f>REDBOOKSearchResults!AD44</f>
        <v>59572-0402-28</v>
      </c>
      <c r="E119" t="str">
        <f>INDEX(REDBOOKSearchResults!$N$2:$N$13, MATCH(D119, REDBOOKSearchResults!$L$2:$L$13, 0))</f>
        <v>2.5 mg</v>
      </c>
      <c r="F119" t="str">
        <f>INDEX(REDBOOKSearchResults!$A$1:$AK$100, MATCH($D119, REDBOOKSearchResults!$L$1:$L$100, 0), MATCH(F$2, REDBOOKSearchResults!$1:$1, 0))</f>
        <v>28s ea</v>
      </c>
    </row>
    <row r="120" spans="1:6" x14ac:dyDescent="0.15">
      <c r="A120" s="4">
        <f>REDBOOKSearchResults!AA45</f>
        <v>42439</v>
      </c>
      <c r="B120" s="7">
        <f>REDBOOKSearchResults!AB45</f>
        <v>644.24820999999997</v>
      </c>
      <c r="C120" s="7">
        <f>REDBOOKSearchResults!AC45</f>
        <v>6.8</v>
      </c>
      <c r="D120" s="4" t="str">
        <f>REDBOOKSearchResults!AD45</f>
        <v>59572-0402-28</v>
      </c>
      <c r="E120" t="str">
        <f>INDEX(REDBOOKSearchResults!$N$2:$N$13, MATCH(D120, REDBOOKSearchResults!$L$2:$L$13, 0))</f>
        <v>2.5 mg</v>
      </c>
      <c r="F120" t="str">
        <f>INDEX(REDBOOKSearchResults!$A$1:$AK$100, MATCH($D120, REDBOOKSearchResults!$L$1:$L$100, 0), MATCH(F$2, REDBOOKSearchResults!$1:$1, 0))</f>
        <v>28s ea</v>
      </c>
    </row>
    <row r="121" spans="1:6" x14ac:dyDescent="0.15">
      <c r="A121" s="4">
        <f>REDBOOKSearchResults!AA46</f>
        <v>42279</v>
      </c>
      <c r="B121" s="7">
        <f>REDBOOKSearchResults!AB46</f>
        <v>603.22892999999999</v>
      </c>
      <c r="C121" s="7">
        <f>REDBOOKSearchResults!AC46</f>
        <v>4</v>
      </c>
      <c r="D121" s="4" t="str">
        <f>REDBOOKSearchResults!AD46</f>
        <v>59572-0402-28</v>
      </c>
      <c r="E121" t="str">
        <f>INDEX(REDBOOKSearchResults!$N$2:$N$13, MATCH(D121, REDBOOKSearchResults!$L$2:$L$13, 0))</f>
        <v>2.5 mg</v>
      </c>
      <c r="F121" t="str">
        <f>INDEX(REDBOOKSearchResults!$A$1:$AK$100, MATCH($D121, REDBOOKSearchResults!$L$1:$L$100, 0), MATCH(F$2, REDBOOKSearchResults!$1:$1, 0))</f>
        <v>28s ea</v>
      </c>
    </row>
    <row r="122" spans="1:6" x14ac:dyDescent="0.15">
      <c r="A122" s="4">
        <f>REDBOOKSearchResults!AA47</f>
        <v>42180</v>
      </c>
      <c r="B122" s="7">
        <f>REDBOOKSearchResults!AB47</f>
        <v>580.02786000000003</v>
      </c>
      <c r="C122" s="7">
        <f>REDBOOKSearchResults!AC47</f>
        <v>3</v>
      </c>
      <c r="D122" s="4" t="str">
        <f>REDBOOKSearchResults!AD47</f>
        <v>59572-0402-28</v>
      </c>
      <c r="E122" t="str">
        <f>INDEX(REDBOOKSearchResults!$N$2:$N$13, MATCH(D122, REDBOOKSearchResults!$L$2:$L$13, 0))</f>
        <v>2.5 mg</v>
      </c>
      <c r="F122" t="str">
        <f>INDEX(REDBOOKSearchResults!$A$1:$AK$100, MATCH($D122, REDBOOKSearchResults!$L$1:$L$100, 0), MATCH(F$2, REDBOOKSearchResults!$1:$1, 0))</f>
        <v>28s ea</v>
      </c>
    </row>
    <row r="123" spans="1:6" x14ac:dyDescent="0.15">
      <c r="A123" s="4">
        <f>REDBOOKSearchResults!AA48</f>
        <v>41996</v>
      </c>
      <c r="B123" s="7">
        <f>REDBOOKSearchResults!AB48</f>
        <v>563.13392999999996</v>
      </c>
      <c r="C123" s="7">
        <f>REDBOOKSearchResults!AC48</f>
        <v>3</v>
      </c>
      <c r="D123" s="4" t="str">
        <f>REDBOOKSearchResults!AD48</f>
        <v>59572-0402-28</v>
      </c>
      <c r="E123" t="str">
        <f>INDEX(REDBOOKSearchResults!$N$2:$N$13, MATCH(D123, REDBOOKSearchResults!$L$2:$L$13, 0))</f>
        <v>2.5 mg</v>
      </c>
      <c r="F123" t="str">
        <f>INDEX(REDBOOKSearchResults!$A$1:$AK$100, MATCH($D123, REDBOOKSearchResults!$L$1:$L$100, 0), MATCH(F$2, REDBOOKSearchResults!$1:$1, 0))</f>
        <v>28s ea</v>
      </c>
    </row>
    <row r="124" spans="1:6" x14ac:dyDescent="0.15">
      <c r="A124" s="4">
        <f>REDBOOKSearchResults!AA49</f>
        <v>41885</v>
      </c>
      <c r="B124" s="7">
        <f>REDBOOKSearchResults!AB49</f>
        <v>546.73213999999996</v>
      </c>
      <c r="C124" s="7">
        <f>REDBOOKSearchResults!AC49</f>
        <v>6.2</v>
      </c>
      <c r="D124" s="4" t="str">
        <f>REDBOOKSearchResults!AD49</f>
        <v>59572-0402-28</v>
      </c>
      <c r="E124" t="str">
        <f>INDEX(REDBOOKSearchResults!$N$2:$N$13, MATCH(D124, REDBOOKSearchResults!$L$2:$L$13, 0))</f>
        <v>2.5 mg</v>
      </c>
      <c r="F124" t="str">
        <f>INDEX(REDBOOKSearchResults!$A$1:$AK$100, MATCH($D124, REDBOOKSearchResults!$L$1:$L$100, 0), MATCH(F$2, REDBOOKSearchResults!$1:$1, 0))</f>
        <v>28s ea</v>
      </c>
    </row>
    <row r="125" spans="1:6" x14ac:dyDescent="0.15">
      <c r="A125" s="4">
        <f>REDBOOKSearchResults!AA50</f>
        <v>41704</v>
      </c>
      <c r="B125" s="7">
        <f>REDBOOKSearchResults!AB50</f>
        <v>514.67214000000001</v>
      </c>
      <c r="C125" s="7">
        <f>REDBOOKSearchResults!AC50</f>
        <v>4</v>
      </c>
      <c r="D125" s="4" t="str">
        <f>REDBOOKSearchResults!AD50</f>
        <v>59572-0402-28</v>
      </c>
      <c r="E125" t="str">
        <f>INDEX(REDBOOKSearchResults!$N$2:$N$13, MATCH(D125, REDBOOKSearchResults!$L$2:$L$13, 0))</f>
        <v>2.5 mg</v>
      </c>
      <c r="F125" t="str">
        <f>INDEX(REDBOOKSearchResults!$A$1:$AK$100, MATCH($D125, REDBOOKSearchResults!$L$1:$L$100, 0), MATCH(F$2, REDBOOKSearchResults!$1:$1, 0))</f>
        <v>28s ea</v>
      </c>
    </row>
    <row r="126" spans="1:6" x14ac:dyDescent="0.15">
      <c r="A126" s="4">
        <f>REDBOOKSearchResults!AA51</f>
        <v>41548</v>
      </c>
      <c r="B126" s="7">
        <f>REDBOOKSearchResults!AB51</f>
        <v>494.87714</v>
      </c>
      <c r="C126" s="7">
        <f>REDBOOKSearchResults!AC51</f>
        <v>3</v>
      </c>
      <c r="D126" s="4" t="str">
        <f>REDBOOKSearchResults!AD51</f>
        <v>59572-0402-28</v>
      </c>
      <c r="E126" t="str">
        <f>INDEX(REDBOOKSearchResults!$N$2:$N$13, MATCH(D126, REDBOOKSearchResults!$L$2:$L$13, 0))</f>
        <v>2.5 mg</v>
      </c>
      <c r="F126" t="str">
        <f>INDEX(REDBOOKSearchResults!$A$1:$AK$100, MATCH($D126, REDBOOKSearchResults!$L$1:$L$100, 0), MATCH(F$2, REDBOOKSearchResults!$1:$1, 0))</f>
        <v>28s ea</v>
      </c>
    </row>
    <row r="127" spans="1:6" x14ac:dyDescent="0.15">
      <c r="A127" s="4">
        <f>REDBOOKSearchResults!AA52</f>
        <v>41363</v>
      </c>
      <c r="B127" s="7">
        <f>REDBOOKSearchResults!AB52</f>
        <v>480.46321</v>
      </c>
      <c r="C127" s="7">
        <f>REDBOOKSearchResults!AC52</f>
        <v>3</v>
      </c>
      <c r="D127" s="4" t="str">
        <f>REDBOOKSearchResults!AD52</f>
        <v>59572-0402-28</v>
      </c>
      <c r="E127" t="str">
        <f>INDEX(REDBOOKSearchResults!$N$2:$N$13, MATCH(D127, REDBOOKSearchResults!$L$2:$L$13, 0))</f>
        <v>2.5 mg</v>
      </c>
      <c r="F127" t="str">
        <f>INDEX(REDBOOKSearchResults!$A$1:$AK$100, MATCH($D127, REDBOOKSearchResults!$L$1:$L$100, 0), MATCH(F$2, REDBOOKSearchResults!$1:$1, 0))</f>
        <v>28s ea</v>
      </c>
    </row>
    <row r="128" spans="1:6" x14ac:dyDescent="0.15">
      <c r="A128" s="4">
        <f>REDBOOKSearchResults!AA53</f>
        <v>41214</v>
      </c>
      <c r="B128" s="7">
        <f>REDBOOKSearchResults!AB53</f>
        <v>466.46929</v>
      </c>
      <c r="C128" s="7">
        <f>REDBOOKSearchResults!AC53</f>
        <v>6</v>
      </c>
      <c r="D128" s="4" t="str">
        <f>REDBOOKSearchResults!AD53</f>
        <v>59572-0402-28</v>
      </c>
      <c r="E128" t="str">
        <f>INDEX(REDBOOKSearchResults!$N$2:$N$13, MATCH(D128, REDBOOKSearchResults!$L$2:$L$13, 0))</f>
        <v>2.5 mg</v>
      </c>
      <c r="F128" t="str">
        <f>INDEX(REDBOOKSearchResults!$A$1:$AK$100, MATCH($D128, REDBOOKSearchResults!$L$1:$L$100, 0), MATCH(F$2, REDBOOKSearchResults!$1:$1, 0))</f>
        <v>28s ea</v>
      </c>
    </row>
    <row r="129" spans="1:6" x14ac:dyDescent="0.15">
      <c r="A129" s="4">
        <f>REDBOOKSearchResults!AA54</f>
        <v>41015</v>
      </c>
      <c r="B129" s="7">
        <f>REDBOOKSearchResults!AB54</f>
        <v>440.06536</v>
      </c>
      <c r="C129" s="7">
        <f>REDBOOKSearchResults!AC54</f>
        <v>0</v>
      </c>
      <c r="D129" s="4" t="str">
        <f>REDBOOKSearchResults!AD54</f>
        <v>59572-0402-28</v>
      </c>
      <c r="E129" t="str">
        <f>INDEX(REDBOOKSearchResults!$N$2:$N$13, MATCH(D129, REDBOOKSearchResults!$L$2:$L$13, 0))</f>
        <v>2.5 mg</v>
      </c>
      <c r="F129" t="str">
        <f>INDEX(REDBOOKSearchResults!$A$1:$AK$100, MATCH($D129, REDBOOKSearchResults!$L$1:$L$100, 0), MATCH(F$2, REDBOOKSearchResults!$1:$1, 0))</f>
        <v>28s ea</v>
      </c>
    </row>
    <row r="130" spans="1:6" x14ac:dyDescent="0.15">
      <c r="A130" s="4">
        <f>REDBOOKSearchResults!AF35</f>
        <v>45474</v>
      </c>
      <c r="B130" s="7">
        <f>REDBOOKSearchResults!AG35</f>
        <v>1069.8607999999999</v>
      </c>
      <c r="C130" s="7">
        <f>REDBOOKSearchResults!AH35</f>
        <v>7</v>
      </c>
      <c r="D130" s="4" t="str">
        <f>REDBOOKSearchResults!AI35</f>
        <v>59572-0425-00</v>
      </c>
      <c r="E130" t="str">
        <f>INDEX(REDBOOKSearchResults!$N$2:$N$13, MATCH(D130, REDBOOKSearchResults!$L$2:$L$13, 0))</f>
        <v>25 mg</v>
      </c>
      <c r="F130" t="str">
        <f>INDEX(REDBOOKSearchResults!$A$1:$AK$100, MATCH($D130, REDBOOKSearchResults!$L$1:$L$100, 0), MATCH(F$2, REDBOOKSearchResults!$1:$1, 0))</f>
        <v>100s ea</v>
      </c>
    </row>
    <row r="131" spans="1:6" x14ac:dyDescent="0.15">
      <c r="A131" s="4">
        <f>REDBOOKSearchResults!AF36</f>
        <v>44562</v>
      </c>
      <c r="B131" s="7">
        <f>REDBOOKSearchResults!AG36</f>
        <v>999.86990000000003</v>
      </c>
      <c r="C131" s="7">
        <f>REDBOOKSearchResults!AH36</f>
        <v>4.5</v>
      </c>
      <c r="D131" s="4" t="str">
        <f>REDBOOKSearchResults!AI36</f>
        <v>59572-0425-00</v>
      </c>
      <c r="E131" t="str">
        <f>INDEX(REDBOOKSearchResults!$N$2:$N$13, MATCH(D131, REDBOOKSearchResults!$L$2:$L$13, 0))</f>
        <v>25 mg</v>
      </c>
      <c r="F131" t="str">
        <f>INDEX(REDBOOKSearchResults!$A$1:$AK$100, MATCH($D131, REDBOOKSearchResults!$L$1:$L$100, 0), MATCH(F$2, REDBOOKSearchResults!$1:$1, 0))</f>
        <v>100s ea</v>
      </c>
    </row>
    <row r="132" spans="1:6" x14ac:dyDescent="0.15">
      <c r="A132" s="4">
        <f>REDBOOKSearchResults!AF37</f>
        <v>44197</v>
      </c>
      <c r="B132" s="7">
        <f>REDBOOKSearchResults!AG37</f>
        <v>956.81330000000003</v>
      </c>
      <c r="C132" s="7">
        <f>REDBOOKSearchResults!AH37</f>
        <v>4.5</v>
      </c>
      <c r="D132" s="4" t="str">
        <f>REDBOOKSearchResults!AI37</f>
        <v>59572-0425-00</v>
      </c>
      <c r="E132" t="str">
        <f>INDEX(REDBOOKSearchResults!$N$2:$N$13, MATCH(D132, REDBOOKSearchResults!$L$2:$L$13, 0))</f>
        <v>25 mg</v>
      </c>
      <c r="F132" t="str">
        <f>INDEX(REDBOOKSearchResults!$A$1:$AK$100, MATCH($D132, REDBOOKSearchResults!$L$1:$L$100, 0), MATCH(F$2, REDBOOKSearchResults!$1:$1, 0))</f>
        <v>100s ea</v>
      </c>
    </row>
    <row r="133" spans="1:6" x14ac:dyDescent="0.15">
      <c r="A133" s="4">
        <f>REDBOOKSearchResults!AF38</f>
        <v>43831</v>
      </c>
      <c r="B133" s="7">
        <f>REDBOOKSearchResults!AG38</f>
        <v>915.61080000000004</v>
      </c>
      <c r="C133" s="7">
        <f>REDBOOKSearchResults!AH38</f>
        <v>6</v>
      </c>
      <c r="D133" s="4" t="str">
        <f>REDBOOKSearchResults!AI38</f>
        <v>59572-0425-00</v>
      </c>
      <c r="E133" t="str">
        <f>INDEX(REDBOOKSearchResults!$N$2:$N$13, MATCH(D133, REDBOOKSearchResults!$L$2:$L$13, 0))</f>
        <v>25 mg</v>
      </c>
      <c r="F133" t="str">
        <f>INDEX(REDBOOKSearchResults!$A$1:$AK$100, MATCH($D133, REDBOOKSearchResults!$L$1:$L$100, 0), MATCH(F$2, REDBOOKSearchResults!$1:$1, 0))</f>
        <v>100s ea</v>
      </c>
    </row>
    <row r="134" spans="1:6" x14ac:dyDescent="0.15">
      <c r="A134" s="4">
        <f>REDBOOKSearchResults!AF39</f>
        <v>43468</v>
      </c>
      <c r="B134" s="7">
        <f>REDBOOKSearchResults!AG39</f>
        <v>863.78380000000004</v>
      </c>
      <c r="C134" s="7">
        <f>REDBOOKSearchResults!AH39</f>
        <v>3.5</v>
      </c>
      <c r="D134" s="4" t="str">
        <f>REDBOOKSearchResults!AI39</f>
        <v>59572-0425-00</v>
      </c>
      <c r="E134" t="str">
        <f>INDEX(REDBOOKSearchResults!$N$2:$N$13, MATCH(D134, REDBOOKSearchResults!$L$2:$L$13, 0))</f>
        <v>25 mg</v>
      </c>
      <c r="F134" t="str">
        <f>INDEX(REDBOOKSearchResults!$A$1:$AK$100, MATCH($D134, REDBOOKSearchResults!$L$1:$L$100, 0), MATCH(F$2, REDBOOKSearchResults!$1:$1, 0))</f>
        <v>100s ea</v>
      </c>
    </row>
    <row r="135" spans="1:6" x14ac:dyDescent="0.15">
      <c r="A135" s="4">
        <f>REDBOOKSearchResults!AF40</f>
        <v>43291</v>
      </c>
      <c r="B135" s="7">
        <f>REDBOOKSearchResults!AG40</f>
        <v>834.57380000000001</v>
      </c>
      <c r="C135" s="7">
        <f>REDBOOKSearchResults!AH40</f>
        <v>5</v>
      </c>
      <c r="D135" s="4" t="str">
        <f>REDBOOKSearchResults!AI40</f>
        <v>59572-0425-00</v>
      </c>
      <c r="E135" t="str">
        <f>INDEX(REDBOOKSearchResults!$N$2:$N$13, MATCH(D135, REDBOOKSearchResults!$L$2:$L$13, 0))</f>
        <v>25 mg</v>
      </c>
      <c r="F135" t="str">
        <f>INDEX(REDBOOKSearchResults!$A$1:$AK$100, MATCH($D135, REDBOOKSearchResults!$L$1:$L$100, 0), MATCH(F$2, REDBOOKSearchResults!$1:$1, 0))</f>
        <v>100s ea</v>
      </c>
    </row>
    <row r="136" spans="1:6" x14ac:dyDescent="0.15">
      <c r="A136" s="4">
        <f>REDBOOKSearchResults!AF41</f>
        <v>43028</v>
      </c>
      <c r="B136" s="7">
        <f>REDBOOKSearchResults!AG41</f>
        <v>794.83209999999997</v>
      </c>
      <c r="C136" s="7">
        <f>REDBOOKSearchResults!AH41</f>
        <v>9</v>
      </c>
      <c r="D136" s="4" t="str">
        <f>REDBOOKSearchResults!AI41</f>
        <v>59572-0425-00</v>
      </c>
      <c r="E136" t="str">
        <f>INDEX(REDBOOKSearchResults!$N$2:$N$13, MATCH(D136, REDBOOKSearchResults!$L$2:$L$13, 0))</f>
        <v>25 mg</v>
      </c>
      <c r="F136" t="str">
        <f>INDEX(REDBOOKSearchResults!$A$1:$AK$100, MATCH($D136, REDBOOKSearchResults!$L$1:$L$100, 0), MATCH(F$2, REDBOOKSearchResults!$1:$1, 0))</f>
        <v>100s ea</v>
      </c>
    </row>
    <row r="137" spans="1:6" x14ac:dyDescent="0.15">
      <c r="A137" s="4">
        <f>REDBOOKSearchResults!AF42</f>
        <v>42927</v>
      </c>
      <c r="B137" s="7">
        <f>REDBOOKSearchResults!AG42</f>
        <v>729.2038</v>
      </c>
      <c r="C137" s="7">
        <f>REDBOOKSearchResults!AH42</f>
        <v>1.8</v>
      </c>
      <c r="D137" s="4" t="str">
        <f>REDBOOKSearchResults!AI42</f>
        <v>59572-0425-00</v>
      </c>
      <c r="E137" t="str">
        <f>INDEX(REDBOOKSearchResults!$N$2:$N$13, MATCH(D137, REDBOOKSearchResults!$L$2:$L$13, 0))</f>
        <v>25 mg</v>
      </c>
      <c r="F137" t="str">
        <f>INDEX(REDBOOKSearchResults!$A$1:$AK$100, MATCH($D137, REDBOOKSearchResults!$L$1:$L$100, 0), MATCH(F$2, REDBOOKSearchResults!$1:$1, 0))</f>
        <v>100s ea</v>
      </c>
    </row>
    <row r="138" spans="1:6" x14ac:dyDescent="0.15">
      <c r="A138" s="4">
        <f>REDBOOKSearchResults!AF43</f>
        <v>42746</v>
      </c>
      <c r="B138" s="7">
        <f>REDBOOKSearchResults!AG43</f>
        <v>716.66219999999998</v>
      </c>
      <c r="C138" s="7">
        <f>REDBOOKSearchResults!AH43</f>
        <v>8</v>
      </c>
      <c r="D138" s="4" t="str">
        <f>REDBOOKSearchResults!AI43</f>
        <v>59572-0425-00</v>
      </c>
      <c r="E138" t="str">
        <f>INDEX(REDBOOKSearchResults!$N$2:$N$13, MATCH(D138, REDBOOKSearchResults!$L$2:$L$13, 0))</f>
        <v>25 mg</v>
      </c>
      <c r="F138" t="str">
        <f>INDEX(REDBOOKSearchResults!$A$1:$AK$100, MATCH($D138, REDBOOKSearchResults!$L$1:$L$100, 0), MATCH(F$2, REDBOOKSearchResults!$1:$1, 0))</f>
        <v>100s ea</v>
      </c>
    </row>
    <row r="139" spans="1:6" x14ac:dyDescent="0.15">
      <c r="A139" s="4">
        <f>REDBOOKSearchResults!AF44</f>
        <v>42602</v>
      </c>
      <c r="B139" s="7">
        <f>REDBOOKSearchResults!AG44</f>
        <v>663.57619999999997</v>
      </c>
      <c r="C139" s="7">
        <f>REDBOOKSearchResults!AH44</f>
        <v>3</v>
      </c>
      <c r="D139" s="4" t="str">
        <f>REDBOOKSearchResults!AI44</f>
        <v>59572-0425-00</v>
      </c>
      <c r="E139" t="str">
        <f>INDEX(REDBOOKSearchResults!$N$2:$N$13, MATCH(D139, REDBOOKSearchResults!$L$2:$L$13, 0))</f>
        <v>25 mg</v>
      </c>
      <c r="F139" t="str">
        <f>INDEX(REDBOOKSearchResults!$A$1:$AK$100, MATCH($D139, REDBOOKSearchResults!$L$1:$L$100, 0), MATCH(F$2, REDBOOKSearchResults!$1:$1, 0))</f>
        <v>100s ea</v>
      </c>
    </row>
    <row r="140" spans="1:6" x14ac:dyDescent="0.15">
      <c r="A140" s="4">
        <f>REDBOOKSearchResults!AF45</f>
        <v>42439</v>
      </c>
      <c r="B140" s="7">
        <f>REDBOOKSearchResults!AG45</f>
        <v>644.24869999999999</v>
      </c>
      <c r="C140" s="7">
        <f>REDBOOKSearchResults!AH45</f>
        <v>6.8</v>
      </c>
      <c r="D140" s="4" t="str">
        <f>REDBOOKSearchResults!AI45</f>
        <v>59572-0425-00</v>
      </c>
      <c r="E140" t="str">
        <f>INDEX(REDBOOKSearchResults!$N$2:$N$13, MATCH(D140, REDBOOKSearchResults!$L$2:$L$13, 0))</f>
        <v>25 mg</v>
      </c>
      <c r="F140" t="str">
        <f>INDEX(REDBOOKSearchResults!$A$1:$AK$100, MATCH($D140, REDBOOKSearchResults!$L$1:$L$100, 0), MATCH(F$2, REDBOOKSearchResults!$1:$1, 0))</f>
        <v>100s ea</v>
      </c>
    </row>
    <row r="141" spans="1:6" x14ac:dyDescent="0.15">
      <c r="A141" s="4">
        <f>REDBOOKSearchResults!AF46</f>
        <v>42279</v>
      </c>
      <c r="B141" s="7">
        <f>REDBOOKSearchResults!AG46</f>
        <v>603.22910000000002</v>
      </c>
      <c r="C141" s="7">
        <f>REDBOOKSearchResults!AH46</f>
        <v>4</v>
      </c>
      <c r="D141" s="4" t="str">
        <f>REDBOOKSearchResults!AI46</f>
        <v>59572-0425-00</v>
      </c>
      <c r="E141" t="str">
        <f>INDEX(REDBOOKSearchResults!$N$2:$N$13, MATCH(D141, REDBOOKSearchResults!$L$2:$L$13, 0))</f>
        <v>25 mg</v>
      </c>
      <c r="F141" t="str">
        <f>INDEX(REDBOOKSearchResults!$A$1:$AK$100, MATCH($D141, REDBOOKSearchResults!$L$1:$L$100, 0), MATCH(F$2, REDBOOKSearchResults!$1:$1, 0))</f>
        <v>100s ea</v>
      </c>
    </row>
    <row r="142" spans="1:6" x14ac:dyDescent="0.15">
      <c r="A142" s="4">
        <f>REDBOOKSearchResults!AF47</f>
        <v>42180</v>
      </c>
      <c r="B142" s="7">
        <f>REDBOOKSearchResults!AG47</f>
        <v>580.02790000000005</v>
      </c>
      <c r="C142" s="7">
        <f>REDBOOKSearchResults!AH47</f>
        <v>3</v>
      </c>
      <c r="D142" s="4" t="str">
        <f>REDBOOKSearchResults!AI47</f>
        <v>59572-0425-00</v>
      </c>
      <c r="E142" t="str">
        <f>INDEX(REDBOOKSearchResults!$N$2:$N$13, MATCH(D142, REDBOOKSearchResults!$L$2:$L$13, 0))</f>
        <v>25 mg</v>
      </c>
      <c r="F142" t="str">
        <f>INDEX(REDBOOKSearchResults!$A$1:$AK$100, MATCH($D142, REDBOOKSearchResults!$L$1:$L$100, 0), MATCH(F$2, REDBOOKSearchResults!$1:$1, 0))</f>
        <v>100s ea</v>
      </c>
    </row>
    <row r="143" spans="1:6" x14ac:dyDescent="0.15">
      <c r="A143" s="4">
        <f>REDBOOKSearchResults!AF48</f>
        <v>41996</v>
      </c>
      <c r="B143" s="7">
        <f>REDBOOKSearchResults!AG48</f>
        <v>563.13390000000004</v>
      </c>
      <c r="C143" s="7">
        <f>REDBOOKSearchResults!AH48</f>
        <v>3</v>
      </c>
      <c r="D143" s="4" t="str">
        <f>REDBOOKSearchResults!AI48</f>
        <v>59572-0425-00</v>
      </c>
      <c r="E143" t="str">
        <f>INDEX(REDBOOKSearchResults!$N$2:$N$13, MATCH(D143, REDBOOKSearchResults!$L$2:$L$13, 0))</f>
        <v>25 mg</v>
      </c>
      <c r="F143" t="str">
        <f>INDEX(REDBOOKSearchResults!$A$1:$AK$100, MATCH($D143, REDBOOKSearchResults!$L$1:$L$100, 0), MATCH(F$2, REDBOOKSearchResults!$1:$1, 0))</f>
        <v>100s ea</v>
      </c>
    </row>
    <row r="144" spans="1:6" x14ac:dyDescent="0.15">
      <c r="A144" s="4">
        <f>REDBOOKSearchResults!AF49</f>
        <v>41885</v>
      </c>
      <c r="B144" s="7">
        <f>REDBOOKSearchResults!AG49</f>
        <v>546.73199999999997</v>
      </c>
      <c r="C144" s="7">
        <f>REDBOOKSearchResults!AH49</f>
        <v>3</v>
      </c>
      <c r="D144" s="4" t="str">
        <f>REDBOOKSearchResults!AI49</f>
        <v>59572-0425-00</v>
      </c>
      <c r="E144" t="str">
        <f>INDEX(REDBOOKSearchResults!$N$2:$N$13, MATCH(D144, REDBOOKSearchResults!$L$2:$L$13, 0))</f>
        <v>25 mg</v>
      </c>
      <c r="F144" t="str">
        <f>INDEX(REDBOOKSearchResults!$A$1:$AK$100, MATCH($D144, REDBOOKSearchResults!$L$1:$L$100, 0), MATCH(F$2, REDBOOKSearchResults!$1:$1, 0))</f>
        <v>100s ea</v>
      </c>
    </row>
    <row r="145" spans="1:6" x14ac:dyDescent="0.15">
      <c r="A145" s="4">
        <f>REDBOOKSearchResults!AF50</f>
        <v>41704</v>
      </c>
      <c r="B145" s="7">
        <f>REDBOOKSearchResults!AG50</f>
        <v>530.81380000000001</v>
      </c>
      <c r="C145" s="7">
        <f>REDBOOKSearchResults!AH50</f>
        <v>4</v>
      </c>
      <c r="D145" s="4" t="str">
        <f>REDBOOKSearchResults!AI50</f>
        <v>59572-0425-00</v>
      </c>
      <c r="E145" t="str">
        <f>INDEX(REDBOOKSearchResults!$N$2:$N$13, MATCH(D145, REDBOOKSearchResults!$L$2:$L$13, 0))</f>
        <v>25 mg</v>
      </c>
      <c r="F145" t="str">
        <f>INDEX(REDBOOKSearchResults!$A$1:$AK$100, MATCH($D145, REDBOOKSearchResults!$L$1:$L$100, 0), MATCH(F$2, REDBOOKSearchResults!$1:$1, 0))</f>
        <v>100s ea</v>
      </c>
    </row>
    <row r="146" spans="1:6" x14ac:dyDescent="0.15">
      <c r="A146" s="4">
        <f>REDBOOKSearchResults!AF51</f>
        <v>41548</v>
      </c>
      <c r="B146" s="7">
        <f>REDBOOKSearchResults!AG51</f>
        <v>510.39780000000002</v>
      </c>
      <c r="C146" s="7">
        <f>REDBOOKSearchResults!AH51</f>
        <v>3</v>
      </c>
      <c r="D146" s="4" t="str">
        <f>REDBOOKSearchResults!AI51</f>
        <v>59572-0425-00</v>
      </c>
      <c r="E146" t="str">
        <f>INDEX(REDBOOKSearchResults!$N$2:$N$13, MATCH(D146, REDBOOKSearchResults!$L$2:$L$13, 0))</f>
        <v>25 mg</v>
      </c>
      <c r="F146" t="str">
        <f>INDEX(REDBOOKSearchResults!$A$1:$AK$100, MATCH($D146, REDBOOKSearchResults!$L$1:$L$100, 0), MATCH(F$2, REDBOOKSearchResults!$1:$1, 0))</f>
        <v>100s ea</v>
      </c>
    </row>
    <row r="147" spans="1:6" x14ac:dyDescent="0.15">
      <c r="A147" s="4">
        <f>REDBOOKSearchResults!AF52</f>
        <v>41363</v>
      </c>
      <c r="B147" s="7">
        <f>REDBOOKSearchResults!AG52</f>
        <v>495.53179999999998</v>
      </c>
      <c r="C147" s="7">
        <f>REDBOOKSearchResults!AH52</f>
        <v>3</v>
      </c>
      <c r="D147" s="4" t="str">
        <f>REDBOOKSearchResults!AI52</f>
        <v>59572-0425-00</v>
      </c>
      <c r="E147" t="str">
        <f>INDEX(REDBOOKSearchResults!$N$2:$N$13, MATCH(D147, REDBOOKSearchResults!$L$2:$L$13, 0))</f>
        <v>25 mg</v>
      </c>
      <c r="F147" t="str">
        <f>INDEX(REDBOOKSearchResults!$A$1:$AK$100, MATCH($D147, REDBOOKSearchResults!$L$1:$L$100, 0), MATCH(F$2, REDBOOKSearchResults!$1:$1, 0))</f>
        <v>100s ea</v>
      </c>
    </row>
    <row r="148" spans="1:6" x14ac:dyDescent="0.15">
      <c r="A148" s="4">
        <f>REDBOOKSearchResults!AF53</f>
        <v>41214</v>
      </c>
      <c r="B148" s="7">
        <f>REDBOOKSearchResults!AG53</f>
        <v>481.09879999999998</v>
      </c>
      <c r="C148" s="7">
        <f>REDBOOKSearchResults!AH53</f>
        <v>6</v>
      </c>
      <c r="D148" s="4" t="str">
        <f>REDBOOKSearchResults!AI53</f>
        <v>59572-0425-00</v>
      </c>
      <c r="E148" t="str">
        <f>INDEX(REDBOOKSearchResults!$N$2:$N$13, MATCH(D148, REDBOOKSearchResults!$L$2:$L$13, 0))</f>
        <v>25 mg</v>
      </c>
      <c r="F148" t="str">
        <f>INDEX(REDBOOKSearchResults!$A$1:$AK$100, MATCH($D148, REDBOOKSearchResults!$L$1:$L$100, 0), MATCH(F$2, REDBOOKSearchResults!$1:$1, 0))</f>
        <v>100s ea</v>
      </c>
    </row>
    <row r="149" spans="1:6" x14ac:dyDescent="0.15">
      <c r="A149" s="4">
        <f>REDBOOKSearchResults!AF54</f>
        <v>40876</v>
      </c>
      <c r="B149" s="7">
        <f>REDBOOKSearchResults!AG54</f>
        <v>453.86689999999999</v>
      </c>
      <c r="C149" s="7">
        <f>REDBOOKSearchResults!AH54</f>
        <v>6</v>
      </c>
      <c r="D149" s="4" t="str">
        <f>REDBOOKSearchResults!AI54</f>
        <v>59572-0425-00</v>
      </c>
      <c r="E149" t="str">
        <f>INDEX(REDBOOKSearchResults!$N$2:$N$13, MATCH(D149, REDBOOKSearchResults!$L$2:$L$13, 0))</f>
        <v>25 mg</v>
      </c>
      <c r="F149" t="str">
        <f>INDEX(REDBOOKSearchResults!$A$1:$AK$100, MATCH($D149, REDBOOKSearchResults!$L$1:$L$100, 0), MATCH(F$2, REDBOOKSearchResults!$1:$1, 0))</f>
        <v>100s ea</v>
      </c>
    </row>
    <row r="150" spans="1:6" x14ac:dyDescent="0.15">
      <c r="A150" s="4">
        <f>REDBOOKSearchResults!AF55</f>
        <v>40523</v>
      </c>
      <c r="B150" s="7">
        <f>REDBOOKSearchResults!AG55</f>
        <v>428.17630000000003</v>
      </c>
      <c r="C150" s="7">
        <f>REDBOOKSearchResults!AH55</f>
        <v>4</v>
      </c>
      <c r="D150" s="4" t="str">
        <f>REDBOOKSearchResults!AI55</f>
        <v>59572-0425-00</v>
      </c>
      <c r="E150" t="str">
        <f>INDEX(REDBOOKSearchResults!$N$2:$N$13, MATCH(D150, REDBOOKSearchResults!$L$2:$L$13, 0))</f>
        <v>25 mg</v>
      </c>
      <c r="F150" t="str">
        <f>INDEX(REDBOOKSearchResults!$A$1:$AK$100, MATCH($D150, REDBOOKSearchResults!$L$1:$L$100, 0), MATCH(F$2, REDBOOKSearchResults!$1:$1, 0))</f>
        <v>100s ea</v>
      </c>
    </row>
    <row r="151" spans="1:6" x14ac:dyDescent="0.15">
      <c r="A151" s="4">
        <f>REDBOOKSearchResults!AF56</f>
        <v>40183</v>
      </c>
      <c r="B151" s="7">
        <f>REDBOOKSearchResults!AG56</f>
        <v>411.70839999999998</v>
      </c>
      <c r="C151" s="7">
        <f>REDBOOKSearchResults!AH56</f>
        <v>4.9000000000000004</v>
      </c>
      <c r="D151" s="4" t="str">
        <f>REDBOOKSearchResults!AI56</f>
        <v>59572-0425-00</v>
      </c>
      <c r="E151" t="str">
        <f>INDEX(REDBOOKSearchResults!$N$2:$N$13, MATCH(D151, REDBOOKSearchResults!$L$2:$L$13, 0))</f>
        <v>25 mg</v>
      </c>
      <c r="F151" t="str">
        <f>INDEX(REDBOOKSearchResults!$A$1:$AK$100, MATCH($D151, REDBOOKSearchResults!$L$1:$L$100, 0), MATCH(F$2, REDBOOKSearchResults!$1:$1, 0))</f>
        <v>100s ea</v>
      </c>
    </row>
    <row r="152" spans="1:6" x14ac:dyDescent="0.15">
      <c r="A152" s="4">
        <f>REDBOOKSearchResults!AF57</f>
        <v>39787</v>
      </c>
      <c r="B152" s="7">
        <f>REDBOOKSearchResults!AG57</f>
        <v>392.47699999999998</v>
      </c>
      <c r="C152" s="7">
        <f>REDBOOKSearchResults!AH57</f>
        <v>4</v>
      </c>
      <c r="D152" s="4" t="str">
        <f>REDBOOKSearchResults!AI57</f>
        <v>59572-0425-00</v>
      </c>
      <c r="E152" t="str">
        <f>INDEX(REDBOOKSearchResults!$N$2:$N$13, MATCH(D152, REDBOOKSearchResults!$L$2:$L$13, 0))</f>
        <v>25 mg</v>
      </c>
      <c r="F152" t="str">
        <f>INDEX(REDBOOKSearchResults!$A$1:$AK$100, MATCH($D152, REDBOOKSearchResults!$L$1:$L$100, 0), MATCH(F$2, REDBOOKSearchResults!$1:$1, 0))</f>
        <v>100s ea</v>
      </c>
    </row>
    <row r="153" spans="1:6" x14ac:dyDescent="0.15">
      <c r="A153" s="4">
        <f>REDBOOKSearchResults!AF58</f>
        <v>39451</v>
      </c>
      <c r="B153" s="7">
        <f>REDBOOKSearchResults!AG58</f>
        <v>377.3818</v>
      </c>
      <c r="C153" s="7">
        <f>REDBOOKSearchResults!AH58</f>
        <v>3.5</v>
      </c>
      <c r="D153" s="4" t="str">
        <f>REDBOOKSearchResults!AI58</f>
        <v>59572-0425-00</v>
      </c>
      <c r="E153" t="str">
        <f>INDEX(REDBOOKSearchResults!$N$2:$N$13, MATCH(D153, REDBOOKSearchResults!$L$2:$L$13, 0))</f>
        <v>25 mg</v>
      </c>
      <c r="F153" t="str">
        <f>INDEX(REDBOOKSearchResults!$A$1:$AK$100, MATCH($D153, REDBOOKSearchResults!$L$1:$L$100, 0), MATCH(F$2, REDBOOKSearchResults!$1:$1, 0))</f>
        <v>100s ea</v>
      </c>
    </row>
    <row r="154" spans="1:6" x14ac:dyDescent="0.15">
      <c r="A154" s="4">
        <f>REDBOOKSearchResults!AF59</f>
        <v>39085</v>
      </c>
      <c r="B154" s="7">
        <f>REDBOOKSearchResults!AG59</f>
        <v>364.62</v>
      </c>
      <c r="C154" s="7">
        <f>REDBOOKSearchResults!AH59</f>
        <v>3</v>
      </c>
      <c r="D154" s="4" t="str">
        <f>REDBOOKSearchResults!AI59</f>
        <v>59572-0425-00</v>
      </c>
      <c r="E154" t="str">
        <f>INDEX(REDBOOKSearchResults!$N$2:$N$13, MATCH(D154, REDBOOKSearchResults!$L$2:$L$13, 0))</f>
        <v>25 mg</v>
      </c>
      <c r="F154" t="str">
        <f>INDEX(REDBOOKSearchResults!$A$1:$AK$100, MATCH($D154, REDBOOKSearchResults!$L$1:$L$100, 0), MATCH(F$2, REDBOOKSearchResults!$1:$1, 0))</f>
        <v>100s ea</v>
      </c>
    </row>
    <row r="155" spans="1:6" x14ac:dyDescent="0.15">
      <c r="A155" s="4">
        <f>REDBOOKSearchResults!AF60</f>
        <v>38898</v>
      </c>
      <c r="B155" s="7">
        <f>REDBOOKSearchResults!AG60</f>
        <v>354</v>
      </c>
      <c r="C155" s="7">
        <f>REDBOOKSearchResults!AH60</f>
        <v>0</v>
      </c>
      <c r="D155" s="4" t="str">
        <f>REDBOOKSearchResults!AI60</f>
        <v>59572-0425-00</v>
      </c>
      <c r="E155" t="str">
        <f>INDEX(REDBOOKSearchResults!$N$2:$N$13, MATCH(D155, REDBOOKSearchResults!$L$2:$L$13, 0))</f>
        <v>25 mg</v>
      </c>
      <c r="F155" t="str">
        <f>INDEX(REDBOOKSearchResults!$A$1:$AK$100, MATCH($D155, REDBOOKSearchResults!$L$1:$L$100, 0), MATCH(F$2, REDBOOKSearchResults!$1:$1, 0))</f>
        <v>100s ea</v>
      </c>
    </row>
    <row r="156" spans="1:6" x14ac:dyDescent="0.15">
      <c r="A156" s="4">
        <f>REDBOOKSearchResults!AJ35</f>
        <v>45474</v>
      </c>
      <c r="B156" s="7">
        <f>REDBOOKSearchResults!AK35</f>
        <v>1069.86095</v>
      </c>
      <c r="C156" s="7">
        <f>REDBOOKSearchResults!AL35</f>
        <v>7</v>
      </c>
      <c r="D156" s="4" t="str">
        <f>REDBOOKSearchResults!AM35</f>
        <v>59572-0425-21</v>
      </c>
      <c r="E156" t="str">
        <f>INDEX(REDBOOKSearchResults!$N$2:$N$13, MATCH(D156, REDBOOKSearchResults!$L$2:$L$13, 0))</f>
        <v>25 mg</v>
      </c>
      <c r="F156" t="str">
        <f>INDEX(REDBOOKSearchResults!$A$1:$AK$100, MATCH($D156, REDBOOKSearchResults!$L$1:$L$100, 0), MATCH(F$2, REDBOOKSearchResults!$1:$1, 0))</f>
        <v>21s ea</v>
      </c>
    </row>
    <row r="157" spans="1:6" x14ac:dyDescent="0.15">
      <c r="A157" s="4">
        <f>REDBOOKSearchResults!AJ36</f>
        <v>44562</v>
      </c>
      <c r="B157" s="7">
        <f>REDBOOKSearchResults!AK36</f>
        <v>999.87048000000004</v>
      </c>
      <c r="C157" s="7">
        <f>REDBOOKSearchResults!AL36</f>
        <v>4.5</v>
      </c>
      <c r="D157" s="4" t="str">
        <f>REDBOOKSearchResults!AM36</f>
        <v>59572-0425-21</v>
      </c>
      <c r="E157" t="str">
        <f>INDEX(REDBOOKSearchResults!$N$2:$N$13, MATCH(D157, REDBOOKSearchResults!$L$2:$L$13, 0))</f>
        <v>25 mg</v>
      </c>
      <c r="F157" t="str">
        <f>INDEX(REDBOOKSearchResults!$A$1:$AK$100, MATCH($D157, REDBOOKSearchResults!$L$1:$L$100, 0), MATCH(F$2, REDBOOKSearchResults!$1:$1, 0))</f>
        <v>21s ea</v>
      </c>
    </row>
    <row r="158" spans="1:6" x14ac:dyDescent="0.15">
      <c r="A158" s="4">
        <f>REDBOOKSearchResults!AJ37</f>
        <v>44197</v>
      </c>
      <c r="B158" s="7">
        <f>REDBOOKSearchResults!AK37</f>
        <v>956.81380999999999</v>
      </c>
      <c r="C158" s="7">
        <f>REDBOOKSearchResults!AL37</f>
        <v>4.5</v>
      </c>
      <c r="D158" s="4" t="str">
        <f>REDBOOKSearchResults!AM37</f>
        <v>59572-0425-21</v>
      </c>
      <c r="E158" t="str">
        <f>INDEX(REDBOOKSearchResults!$N$2:$N$13, MATCH(D158, REDBOOKSearchResults!$L$2:$L$13, 0))</f>
        <v>25 mg</v>
      </c>
      <c r="F158" t="str">
        <f>INDEX(REDBOOKSearchResults!$A$1:$AK$100, MATCH($D158, REDBOOKSearchResults!$L$1:$L$100, 0), MATCH(F$2, REDBOOKSearchResults!$1:$1, 0))</f>
        <v>21s ea</v>
      </c>
    </row>
    <row r="159" spans="1:6" x14ac:dyDescent="0.15">
      <c r="A159" s="4">
        <f>REDBOOKSearchResults!AJ38</f>
        <v>43831</v>
      </c>
      <c r="B159" s="7">
        <f>REDBOOKSearchResults!AK38</f>
        <v>915.61143000000004</v>
      </c>
      <c r="C159" s="7">
        <f>REDBOOKSearchResults!AL38</f>
        <v>6</v>
      </c>
      <c r="D159" s="4" t="str">
        <f>REDBOOKSearchResults!AM38</f>
        <v>59572-0425-21</v>
      </c>
      <c r="E159" t="str">
        <f>INDEX(REDBOOKSearchResults!$N$2:$N$13, MATCH(D159, REDBOOKSearchResults!$L$2:$L$13, 0))</f>
        <v>25 mg</v>
      </c>
      <c r="F159" t="str">
        <f>INDEX(REDBOOKSearchResults!$A$1:$AK$100, MATCH($D159, REDBOOKSearchResults!$L$1:$L$100, 0), MATCH(F$2, REDBOOKSearchResults!$1:$1, 0))</f>
        <v>21s ea</v>
      </c>
    </row>
    <row r="160" spans="1:6" x14ac:dyDescent="0.15">
      <c r="A160" s="4">
        <f>REDBOOKSearchResults!AJ39</f>
        <v>43468</v>
      </c>
      <c r="B160" s="7">
        <f>REDBOOKSearchResults!AK39</f>
        <v>863.78476000000001</v>
      </c>
      <c r="C160" s="7">
        <f>REDBOOKSearchResults!AL39</f>
        <v>3.5</v>
      </c>
      <c r="D160" s="4" t="str">
        <f>REDBOOKSearchResults!AM39</f>
        <v>59572-0425-21</v>
      </c>
      <c r="E160" t="str">
        <f>INDEX(REDBOOKSearchResults!$N$2:$N$13, MATCH(D160, REDBOOKSearchResults!$L$2:$L$13, 0))</f>
        <v>25 mg</v>
      </c>
      <c r="F160" t="str">
        <f>INDEX(REDBOOKSearchResults!$A$1:$AK$100, MATCH($D160, REDBOOKSearchResults!$L$1:$L$100, 0), MATCH(F$2, REDBOOKSearchResults!$1:$1, 0))</f>
        <v>21s ea</v>
      </c>
    </row>
    <row r="161" spans="1:6" x14ac:dyDescent="0.15">
      <c r="A161" s="4">
        <f>REDBOOKSearchResults!AJ40</f>
        <v>43291</v>
      </c>
      <c r="B161" s="7">
        <f>REDBOOKSearchResults!AK40</f>
        <v>834.57429000000002</v>
      </c>
      <c r="C161" s="7">
        <f>REDBOOKSearchResults!AL40</f>
        <v>5</v>
      </c>
      <c r="D161" s="4" t="str">
        <f>REDBOOKSearchResults!AM40</f>
        <v>59572-0425-21</v>
      </c>
      <c r="E161" t="str">
        <f>INDEX(REDBOOKSearchResults!$N$2:$N$13, MATCH(D161, REDBOOKSearchResults!$L$2:$L$13, 0))</f>
        <v>25 mg</v>
      </c>
      <c r="F161" t="str">
        <f>INDEX(REDBOOKSearchResults!$A$1:$AK$100, MATCH($D161, REDBOOKSearchResults!$L$1:$L$100, 0), MATCH(F$2, REDBOOKSearchResults!$1:$1, 0))</f>
        <v>21s ea</v>
      </c>
    </row>
    <row r="162" spans="1:6" x14ac:dyDescent="0.15">
      <c r="A162" s="4">
        <f>REDBOOKSearchResults!AJ41</f>
        <v>43028</v>
      </c>
      <c r="B162" s="7">
        <f>REDBOOKSearchResults!AK41</f>
        <v>794.83237999999994</v>
      </c>
      <c r="C162" s="7">
        <f>REDBOOKSearchResults!AL41</f>
        <v>9</v>
      </c>
      <c r="D162" s="4" t="str">
        <f>REDBOOKSearchResults!AM41</f>
        <v>59572-0425-21</v>
      </c>
      <c r="E162" t="str">
        <f>INDEX(REDBOOKSearchResults!$N$2:$N$13, MATCH(D162, REDBOOKSearchResults!$L$2:$L$13, 0))</f>
        <v>25 mg</v>
      </c>
      <c r="F162" t="str">
        <f>INDEX(REDBOOKSearchResults!$A$1:$AK$100, MATCH($D162, REDBOOKSearchResults!$L$1:$L$100, 0), MATCH(F$2, REDBOOKSearchResults!$1:$1, 0))</f>
        <v>21s ea</v>
      </c>
    </row>
    <row r="163" spans="1:6" x14ac:dyDescent="0.15">
      <c r="A163" s="4">
        <f>REDBOOKSearchResults!AJ42</f>
        <v>42927</v>
      </c>
      <c r="B163" s="7">
        <f>REDBOOKSearchResults!AK42</f>
        <v>729.20380999999998</v>
      </c>
      <c r="C163" s="7">
        <f>REDBOOKSearchResults!AL42</f>
        <v>1.7</v>
      </c>
      <c r="D163" s="4" t="str">
        <f>REDBOOKSearchResults!AM42</f>
        <v>59572-0425-21</v>
      </c>
      <c r="E163" t="str">
        <f>INDEX(REDBOOKSearchResults!$N$2:$N$13, MATCH(D163, REDBOOKSearchResults!$L$2:$L$13, 0))</f>
        <v>25 mg</v>
      </c>
      <c r="F163" t="str">
        <f>INDEX(REDBOOKSearchResults!$A$1:$AK$100, MATCH($D163, REDBOOKSearchResults!$L$1:$L$100, 0), MATCH(F$2, REDBOOKSearchResults!$1:$1, 0))</f>
        <v>21s ea</v>
      </c>
    </row>
    <row r="164" spans="1:6" x14ac:dyDescent="0.15">
      <c r="A164" s="4">
        <f>REDBOOKSearchResults!AJ43</f>
        <v>42746</v>
      </c>
      <c r="B164" s="7">
        <f>REDBOOKSearchResults!AK43</f>
        <v>716.66237999999998</v>
      </c>
      <c r="C164" s="7">
        <f>REDBOOKSearchResults!AL43</f>
        <v>8</v>
      </c>
      <c r="D164" s="4" t="str">
        <f>REDBOOKSearchResults!AM43</f>
        <v>59572-0425-21</v>
      </c>
      <c r="E164" t="str">
        <f>INDEX(REDBOOKSearchResults!$N$2:$N$13, MATCH(D164, REDBOOKSearchResults!$L$2:$L$13, 0))</f>
        <v>25 mg</v>
      </c>
      <c r="F164" t="str">
        <f>INDEX(REDBOOKSearchResults!$A$1:$AK$100, MATCH($D164, REDBOOKSearchResults!$L$1:$L$100, 0), MATCH(F$2, REDBOOKSearchResults!$1:$1, 0))</f>
        <v>21s ea</v>
      </c>
    </row>
    <row r="165" spans="1:6" x14ac:dyDescent="0.15">
      <c r="A165" s="4">
        <f>REDBOOKSearchResults!AJ44</f>
        <v>42602</v>
      </c>
      <c r="B165" s="7">
        <f>REDBOOKSearchResults!AK44</f>
        <v>663.57619</v>
      </c>
      <c r="C165" s="7">
        <f>REDBOOKSearchResults!AL44</f>
        <v>3</v>
      </c>
      <c r="D165" s="4" t="str">
        <f>REDBOOKSearchResults!AM44</f>
        <v>59572-0425-21</v>
      </c>
      <c r="E165" t="str">
        <f>INDEX(REDBOOKSearchResults!$N$2:$N$13, MATCH(D165, REDBOOKSearchResults!$L$2:$L$13, 0))</f>
        <v>25 mg</v>
      </c>
      <c r="F165" t="str">
        <f>INDEX(REDBOOKSearchResults!$A$1:$AK$100, MATCH($D165, REDBOOKSearchResults!$L$1:$L$100, 0), MATCH(F$2, REDBOOKSearchResults!$1:$1, 0))</f>
        <v>21s ea</v>
      </c>
    </row>
    <row r="166" spans="1:6" x14ac:dyDescent="0.15">
      <c r="A166" s="4">
        <f>REDBOOKSearchResults!AJ45</f>
        <v>42439</v>
      </c>
      <c r="B166" s="7">
        <f>REDBOOKSearchResults!AK45</f>
        <v>644.24856999999997</v>
      </c>
      <c r="C166" s="7">
        <f>REDBOOKSearchResults!AL45</f>
        <v>6.8</v>
      </c>
      <c r="D166" s="4" t="str">
        <f>REDBOOKSearchResults!AM45</f>
        <v>59572-0425-21</v>
      </c>
      <c r="E166" t="str">
        <f>INDEX(REDBOOKSearchResults!$N$2:$N$13, MATCH(D166, REDBOOKSearchResults!$L$2:$L$13, 0))</f>
        <v>25 mg</v>
      </c>
      <c r="F166" t="str">
        <f>INDEX(REDBOOKSearchResults!$A$1:$AK$100, MATCH($D166, REDBOOKSearchResults!$L$1:$L$100, 0), MATCH(F$2, REDBOOKSearchResults!$1:$1, 0))</f>
        <v>21s ea</v>
      </c>
    </row>
    <row r="167" spans="1:6" x14ac:dyDescent="0.15">
      <c r="A167" s="4">
        <f>REDBOOKSearchResults!AJ46</f>
        <v>42279</v>
      </c>
      <c r="B167" s="7">
        <f>REDBOOKSearchResults!AK46</f>
        <v>603.22905000000003</v>
      </c>
      <c r="C167" s="7">
        <f>REDBOOKSearchResults!AL46</f>
        <v>4</v>
      </c>
      <c r="D167" s="4" t="str">
        <f>REDBOOKSearchResults!AM46</f>
        <v>59572-0425-21</v>
      </c>
      <c r="E167" t="str">
        <f>INDEX(REDBOOKSearchResults!$N$2:$N$13, MATCH(D167, REDBOOKSearchResults!$L$2:$L$13, 0))</f>
        <v>25 mg</v>
      </c>
      <c r="F167" t="str">
        <f>INDEX(REDBOOKSearchResults!$A$1:$AK$100, MATCH($D167, REDBOOKSearchResults!$L$1:$L$100, 0), MATCH(F$2, REDBOOKSearchResults!$1:$1, 0))</f>
        <v>21s ea</v>
      </c>
    </row>
    <row r="168" spans="1:6" x14ac:dyDescent="0.15">
      <c r="A168" s="4">
        <f>REDBOOKSearchResults!AJ47</f>
        <v>42180</v>
      </c>
      <c r="B168" s="7">
        <f>REDBOOKSearchResults!AK47</f>
        <v>580.02809999999999</v>
      </c>
      <c r="C168" s="7">
        <f>REDBOOKSearchResults!AL47</f>
        <v>3</v>
      </c>
      <c r="D168" s="4" t="str">
        <f>REDBOOKSearchResults!AM47</f>
        <v>59572-0425-21</v>
      </c>
      <c r="E168" t="str">
        <f>INDEX(REDBOOKSearchResults!$N$2:$N$13, MATCH(D168, REDBOOKSearchResults!$L$2:$L$13, 0))</f>
        <v>25 mg</v>
      </c>
      <c r="F168" t="str">
        <f>INDEX(REDBOOKSearchResults!$A$1:$AK$100, MATCH($D168, REDBOOKSearchResults!$L$1:$L$100, 0), MATCH(F$2, REDBOOKSearchResults!$1:$1, 0))</f>
        <v>21s ea</v>
      </c>
    </row>
    <row r="169" spans="1:6" x14ac:dyDescent="0.15">
      <c r="A169" s="4">
        <f>REDBOOKSearchResults!AJ48</f>
        <v>41996</v>
      </c>
      <c r="B169" s="7">
        <f>REDBOOKSearchResults!AK48</f>
        <v>563.13381000000004</v>
      </c>
      <c r="C169" s="7">
        <f>REDBOOKSearchResults!AL48</f>
        <v>3</v>
      </c>
      <c r="D169" s="4" t="str">
        <f>REDBOOKSearchResults!AM48</f>
        <v>59572-0425-21</v>
      </c>
      <c r="E169" t="str">
        <f>INDEX(REDBOOKSearchResults!$N$2:$N$13, MATCH(D169, REDBOOKSearchResults!$L$2:$L$13, 0))</f>
        <v>25 mg</v>
      </c>
      <c r="F169" t="str">
        <f>INDEX(REDBOOKSearchResults!$A$1:$AK$100, MATCH($D169, REDBOOKSearchResults!$L$1:$L$100, 0), MATCH(F$2, REDBOOKSearchResults!$1:$1, 0))</f>
        <v>21s ea</v>
      </c>
    </row>
    <row r="170" spans="1:6" x14ac:dyDescent="0.15">
      <c r="A170" s="4">
        <f>REDBOOKSearchResults!AJ49</f>
        <v>41885</v>
      </c>
      <c r="B170" s="7">
        <f>REDBOOKSearchResults!AK49</f>
        <v>546.7319</v>
      </c>
      <c r="C170" s="7">
        <f>REDBOOKSearchResults!AL49</f>
        <v>3</v>
      </c>
      <c r="D170" s="4" t="str">
        <f>REDBOOKSearchResults!AM49</f>
        <v>59572-0425-21</v>
      </c>
      <c r="E170" t="str">
        <f>INDEX(REDBOOKSearchResults!$N$2:$N$13, MATCH(D170, REDBOOKSearchResults!$L$2:$L$13, 0))</f>
        <v>25 mg</v>
      </c>
      <c r="F170" t="str">
        <f>INDEX(REDBOOKSearchResults!$A$1:$AK$100, MATCH($D170, REDBOOKSearchResults!$L$1:$L$100, 0), MATCH(F$2, REDBOOKSearchResults!$1:$1, 0))</f>
        <v>21s ea</v>
      </c>
    </row>
    <row r="171" spans="1:6" x14ac:dyDescent="0.15">
      <c r="A171" s="4">
        <f>REDBOOKSearchResults!AJ50</f>
        <v>41704</v>
      </c>
      <c r="B171" s="7">
        <f>REDBOOKSearchResults!AK50</f>
        <v>530.81429000000003</v>
      </c>
      <c r="C171" s="7">
        <f>REDBOOKSearchResults!AL50</f>
        <v>4</v>
      </c>
      <c r="D171" s="4" t="str">
        <f>REDBOOKSearchResults!AM50</f>
        <v>59572-0425-21</v>
      </c>
      <c r="E171" t="str">
        <f>INDEX(REDBOOKSearchResults!$N$2:$N$13, MATCH(D171, REDBOOKSearchResults!$L$2:$L$13, 0))</f>
        <v>25 mg</v>
      </c>
      <c r="F171" t="str">
        <f>INDEX(REDBOOKSearchResults!$A$1:$AK$100, MATCH($D171, REDBOOKSearchResults!$L$1:$L$100, 0), MATCH(F$2, REDBOOKSearchResults!$1:$1, 0))</f>
        <v>21s ea</v>
      </c>
    </row>
    <row r="172" spans="1:6" x14ac:dyDescent="0.15">
      <c r="A172" s="4">
        <f>REDBOOKSearchResults!AJ51</f>
        <v>41548</v>
      </c>
      <c r="B172" s="7">
        <f>REDBOOKSearchResults!AK51</f>
        <v>510.3981</v>
      </c>
      <c r="C172" s="7">
        <f>REDBOOKSearchResults!AL51</f>
        <v>3</v>
      </c>
      <c r="D172" s="4" t="str">
        <f>REDBOOKSearchResults!AM51</f>
        <v>59572-0425-21</v>
      </c>
      <c r="E172" t="str">
        <f>INDEX(REDBOOKSearchResults!$N$2:$N$13, MATCH(D172, REDBOOKSearchResults!$L$2:$L$13, 0))</f>
        <v>25 mg</v>
      </c>
      <c r="F172" t="str">
        <f>INDEX(REDBOOKSearchResults!$A$1:$AK$100, MATCH($D172, REDBOOKSearchResults!$L$1:$L$100, 0), MATCH(F$2, REDBOOKSearchResults!$1:$1, 0))</f>
        <v>21s ea</v>
      </c>
    </row>
    <row r="173" spans="1:6" x14ac:dyDescent="0.15">
      <c r="A173" s="4">
        <f>REDBOOKSearchResults!AJ52</f>
        <v>41363</v>
      </c>
      <c r="B173" s="7">
        <f>REDBOOKSearchResults!AK52</f>
        <v>495.53237999999999</v>
      </c>
      <c r="C173" s="7">
        <f>REDBOOKSearchResults!AL52</f>
        <v>3</v>
      </c>
      <c r="D173" s="4" t="str">
        <f>REDBOOKSearchResults!AM52</f>
        <v>59572-0425-21</v>
      </c>
      <c r="E173" t="str">
        <f>INDEX(REDBOOKSearchResults!$N$2:$N$13, MATCH(D173, REDBOOKSearchResults!$L$2:$L$13, 0))</f>
        <v>25 mg</v>
      </c>
      <c r="F173" t="str">
        <f>INDEX(REDBOOKSearchResults!$A$1:$AK$100, MATCH($D173, REDBOOKSearchResults!$L$1:$L$100, 0), MATCH(F$2, REDBOOKSearchResults!$1:$1, 0))</f>
        <v>21s ea</v>
      </c>
    </row>
    <row r="174" spans="1:6" x14ac:dyDescent="0.15">
      <c r="A174" s="4">
        <f>REDBOOKSearchResults!AJ53</f>
        <v>41214</v>
      </c>
      <c r="B174" s="7">
        <f>REDBOOKSearchResults!AK53</f>
        <v>481.09951999999998</v>
      </c>
      <c r="C174" s="7">
        <f>REDBOOKSearchResults!AL53</f>
        <v>6</v>
      </c>
      <c r="D174" s="4" t="str">
        <f>REDBOOKSearchResults!AM53</f>
        <v>59572-0425-21</v>
      </c>
      <c r="E174" t="str">
        <f>INDEX(REDBOOKSearchResults!$N$2:$N$13, MATCH(D174, REDBOOKSearchResults!$L$2:$L$13, 0))</f>
        <v>25 mg</v>
      </c>
      <c r="F174" t="str">
        <f>INDEX(REDBOOKSearchResults!$A$1:$AK$100, MATCH($D174, REDBOOKSearchResults!$L$1:$L$100, 0), MATCH(F$2, REDBOOKSearchResults!$1:$1, 0))</f>
        <v>21s ea</v>
      </c>
    </row>
    <row r="175" spans="1:6" x14ac:dyDescent="0.15">
      <c r="A175" s="4">
        <f>REDBOOKSearchResults!AJ54</f>
        <v>40876</v>
      </c>
      <c r="B175" s="7">
        <f>REDBOOKSearchResults!AK54</f>
        <v>453.86761999999999</v>
      </c>
      <c r="C175" s="7">
        <f>REDBOOKSearchResults!AL54</f>
        <v>6</v>
      </c>
      <c r="D175" s="4" t="str">
        <f>REDBOOKSearchResults!AM54</f>
        <v>59572-0425-21</v>
      </c>
      <c r="E175" t="str">
        <f>INDEX(REDBOOKSearchResults!$N$2:$N$13, MATCH(D175, REDBOOKSearchResults!$L$2:$L$13, 0))</f>
        <v>25 mg</v>
      </c>
      <c r="F175" t="str">
        <f>INDEX(REDBOOKSearchResults!$A$1:$AK$100, MATCH($D175, REDBOOKSearchResults!$L$1:$L$100, 0), MATCH(F$2, REDBOOKSearchResults!$1:$1, 0))</f>
        <v>21s ea</v>
      </c>
    </row>
    <row r="176" spans="1:6" x14ac:dyDescent="0.15">
      <c r="A176" s="4">
        <f>REDBOOKSearchResults!AJ55</f>
        <v>40523</v>
      </c>
      <c r="B176" s="7">
        <f>REDBOOKSearchResults!AK55</f>
        <v>428.17667</v>
      </c>
      <c r="C176" s="7">
        <f>REDBOOKSearchResults!AL55</f>
        <v>4</v>
      </c>
      <c r="D176" s="4" t="str">
        <f>REDBOOKSearchResults!AM55</f>
        <v>59572-0425-21</v>
      </c>
      <c r="E176" t="str">
        <f>INDEX(REDBOOKSearchResults!$N$2:$N$13, MATCH(D176, REDBOOKSearchResults!$L$2:$L$13, 0))</f>
        <v>25 mg</v>
      </c>
      <c r="F176" t="str">
        <f>INDEX(REDBOOKSearchResults!$A$1:$AK$100, MATCH($D176, REDBOOKSearchResults!$L$1:$L$100, 0), MATCH(F$2, REDBOOKSearchResults!$1:$1, 0))</f>
        <v>21s ea</v>
      </c>
    </row>
    <row r="177" spans="1:6" x14ac:dyDescent="0.15">
      <c r="A177" s="4">
        <f>REDBOOKSearchResults!AJ56</f>
        <v>40183</v>
      </c>
      <c r="B177" s="7">
        <f>REDBOOKSearchResults!AK56</f>
        <v>411.70285999999999</v>
      </c>
      <c r="C177" s="7">
        <f>REDBOOKSearchResults!AL56</f>
        <v>4.9000000000000004</v>
      </c>
      <c r="D177" s="4" t="str">
        <f>REDBOOKSearchResults!AM56</f>
        <v>59572-0425-21</v>
      </c>
      <c r="E177" t="str">
        <f>INDEX(REDBOOKSearchResults!$N$2:$N$13, MATCH(D177, REDBOOKSearchResults!$L$2:$L$13, 0))</f>
        <v>25 mg</v>
      </c>
      <c r="F177" t="str">
        <f>INDEX(REDBOOKSearchResults!$A$1:$AK$100, MATCH($D177, REDBOOKSearchResults!$L$1:$L$100, 0), MATCH(F$2, REDBOOKSearchResults!$1:$1, 0))</f>
        <v>21s ea</v>
      </c>
    </row>
    <row r="178" spans="1:6" x14ac:dyDescent="0.15">
      <c r="A178" s="4">
        <f>REDBOOKSearchResults!AJ57</f>
        <v>39904</v>
      </c>
      <c r="B178" s="7">
        <f>REDBOOKSearchResults!AK57</f>
        <v>392.47190000000001</v>
      </c>
      <c r="C178" s="7">
        <f>REDBOOKSearchResults!AL57</f>
        <v>0</v>
      </c>
      <c r="D178" s="4" t="str">
        <f>REDBOOKSearchResults!AM57</f>
        <v>59572-0425-21</v>
      </c>
      <c r="E178" t="str">
        <f>INDEX(REDBOOKSearchResults!$N$2:$N$13, MATCH(D178, REDBOOKSearchResults!$L$2:$L$13, 0))</f>
        <v>25 mg</v>
      </c>
      <c r="F178" t="str">
        <f>INDEX(REDBOOKSearchResults!$A$1:$AK$100, MATCH($D178, REDBOOKSearchResults!$L$1:$L$100, 0), MATCH(F$2, REDBOOKSearchResults!$1:$1, 0))</f>
        <v>21s ea</v>
      </c>
    </row>
    <row r="179" spans="1:6" x14ac:dyDescent="0.15">
      <c r="A179" s="4">
        <f>REDBOOKSearchResults!AO35</f>
        <v>45474</v>
      </c>
      <c r="B179" s="7">
        <f>REDBOOKSearchResults!AP35</f>
        <v>1069.86095</v>
      </c>
      <c r="C179" s="7">
        <f>REDBOOKSearchResults!AQ35</f>
        <v>7</v>
      </c>
      <c r="D179" s="4" t="str">
        <f>REDBOOKSearchResults!AR35</f>
        <v>59572-0415-21</v>
      </c>
      <c r="E179" t="str">
        <f>INDEX(REDBOOKSearchResults!$N$2:$N$13, MATCH(D179, REDBOOKSearchResults!$L$2:$L$13, 0))</f>
        <v>15 mg</v>
      </c>
      <c r="F179" t="str">
        <f>INDEX(REDBOOKSearchResults!$A$1:$AK$100, MATCH($D179, REDBOOKSearchResults!$L$1:$L$100, 0), MATCH(F$2, REDBOOKSearchResults!$1:$1, 0))</f>
        <v>21s ea</v>
      </c>
    </row>
    <row r="180" spans="1:6" x14ac:dyDescent="0.15">
      <c r="A180" s="4">
        <f>REDBOOKSearchResults!AO36</f>
        <v>44562</v>
      </c>
      <c r="B180" s="7">
        <f>REDBOOKSearchResults!AP36</f>
        <v>999.87048000000004</v>
      </c>
      <c r="C180" s="7">
        <f>REDBOOKSearchResults!AQ36</f>
        <v>4.5</v>
      </c>
      <c r="D180" s="4" t="str">
        <f>REDBOOKSearchResults!AR36</f>
        <v>59572-0415-21</v>
      </c>
      <c r="E180" t="str">
        <f>INDEX(REDBOOKSearchResults!$N$2:$N$13, MATCH(D180, REDBOOKSearchResults!$L$2:$L$13, 0))</f>
        <v>15 mg</v>
      </c>
      <c r="F180" t="str">
        <f>INDEX(REDBOOKSearchResults!$A$1:$AK$100, MATCH($D180, REDBOOKSearchResults!$L$1:$L$100, 0), MATCH(F$2, REDBOOKSearchResults!$1:$1, 0))</f>
        <v>21s ea</v>
      </c>
    </row>
    <row r="181" spans="1:6" x14ac:dyDescent="0.15">
      <c r="A181" s="4">
        <f>REDBOOKSearchResults!AO37</f>
        <v>44197</v>
      </c>
      <c r="B181" s="7">
        <f>REDBOOKSearchResults!AP37</f>
        <v>956.81380999999999</v>
      </c>
      <c r="C181" s="7">
        <f>REDBOOKSearchResults!AQ37</f>
        <v>4.5</v>
      </c>
      <c r="D181" s="4" t="str">
        <f>REDBOOKSearchResults!AR37</f>
        <v>59572-0415-21</v>
      </c>
      <c r="E181" t="str">
        <f>INDEX(REDBOOKSearchResults!$N$2:$N$13, MATCH(D181, REDBOOKSearchResults!$L$2:$L$13, 0))</f>
        <v>15 mg</v>
      </c>
      <c r="F181" t="str">
        <f>INDEX(REDBOOKSearchResults!$A$1:$AK$100, MATCH($D181, REDBOOKSearchResults!$L$1:$L$100, 0), MATCH(F$2, REDBOOKSearchResults!$1:$1, 0))</f>
        <v>21s ea</v>
      </c>
    </row>
    <row r="182" spans="1:6" x14ac:dyDescent="0.15">
      <c r="A182" s="4">
        <f>REDBOOKSearchResults!AO38</f>
        <v>43831</v>
      </c>
      <c r="B182" s="7">
        <f>REDBOOKSearchResults!AP38</f>
        <v>915.61143000000004</v>
      </c>
      <c r="C182" s="7">
        <f>REDBOOKSearchResults!AQ38</f>
        <v>6</v>
      </c>
      <c r="D182" s="4" t="str">
        <f>REDBOOKSearchResults!AR38</f>
        <v>59572-0415-21</v>
      </c>
      <c r="E182" t="str">
        <f>INDEX(REDBOOKSearchResults!$N$2:$N$13, MATCH(D182, REDBOOKSearchResults!$L$2:$L$13, 0))</f>
        <v>15 mg</v>
      </c>
      <c r="F182" t="str">
        <f>INDEX(REDBOOKSearchResults!$A$1:$AK$100, MATCH($D182, REDBOOKSearchResults!$L$1:$L$100, 0), MATCH(F$2, REDBOOKSearchResults!$1:$1, 0))</f>
        <v>21s ea</v>
      </c>
    </row>
    <row r="183" spans="1:6" x14ac:dyDescent="0.15">
      <c r="A183" s="4">
        <f>REDBOOKSearchResults!AO39</f>
        <v>43468</v>
      </c>
      <c r="B183" s="7">
        <f>REDBOOKSearchResults!AP39</f>
        <v>863.78476000000001</v>
      </c>
      <c r="C183" s="7">
        <f>REDBOOKSearchResults!AQ39</f>
        <v>3.5</v>
      </c>
      <c r="D183" s="4" t="str">
        <f>REDBOOKSearchResults!AR39</f>
        <v>59572-0415-21</v>
      </c>
      <c r="E183" t="str">
        <f>INDEX(REDBOOKSearchResults!$N$2:$N$13, MATCH(D183, REDBOOKSearchResults!$L$2:$L$13, 0))</f>
        <v>15 mg</v>
      </c>
      <c r="F183" t="str">
        <f>INDEX(REDBOOKSearchResults!$A$1:$AK$100, MATCH($D183, REDBOOKSearchResults!$L$1:$L$100, 0), MATCH(F$2, REDBOOKSearchResults!$1:$1, 0))</f>
        <v>21s ea</v>
      </c>
    </row>
    <row r="184" spans="1:6" x14ac:dyDescent="0.15">
      <c r="A184" s="4">
        <f>REDBOOKSearchResults!AO40</f>
        <v>43291</v>
      </c>
      <c r="B184" s="7">
        <f>REDBOOKSearchResults!AP40</f>
        <v>834.57429000000002</v>
      </c>
      <c r="C184" s="7">
        <f>REDBOOKSearchResults!AQ40</f>
        <v>5</v>
      </c>
      <c r="D184" s="4" t="str">
        <f>REDBOOKSearchResults!AR40</f>
        <v>59572-0415-21</v>
      </c>
      <c r="E184" t="str">
        <f>INDEX(REDBOOKSearchResults!$N$2:$N$13, MATCH(D184, REDBOOKSearchResults!$L$2:$L$13, 0))</f>
        <v>15 mg</v>
      </c>
      <c r="F184" t="str">
        <f>INDEX(REDBOOKSearchResults!$A$1:$AK$100, MATCH($D184, REDBOOKSearchResults!$L$1:$L$100, 0), MATCH(F$2, REDBOOKSearchResults!$1:$1, 0))</f>
        <v>21s ea</v>
      </c>
    </row>
    <row r="185" spans="1:6" x14ac:dyDescent="0.15">
      <c r="A185" s="4">
        <f>REDBOOKSearchResults!AO41</f>
        <v>43028</v>
      </c>
      <c r="B185" s="7">
        <f>REDBOOKSearchResults!AP41</f>
        <v>794.83237999999994</v>
      </c>
      <c r="C185" s="7">
        <f>REDBOOKSearchResults!AQ41</f>
        <v>9</v>
      </c>
      <c r="D185" s="4" t="str">
        <f>REDBOOKSearchResults!AR41</f>
        <v>59572-0415-21</v>
      </c>
      <c r="E185" t="str">
        <f>INDEX(REDBOOKSearchResults!$N$2:$N$13, MATCH(D185, REDBOOKSearchResults!$L$2:$L$13, 0))</f>
        <v>15 mg</v>
      </c>
      <c r="F185" t="str">
        <f>INDEX(REDBOOKSearchResults!$A$1:$AK$100, MATCH($D185, REDBOOKSearchResults!$L$1:$L$100, 0), MATCH(F$2, REDBOOKSearchResults!$1:$1, 0))</f>
        <v>21s ea</v>
      </c>
    </row>
    <row r="186" spans="1:6" x14ac:dyDescent="0.15">
      <c r="A186" s="4">
        <f>REDBOOKSearchResults!AO42</f>
        <v>42927</v>
      </c>
      <c r="B186" s="7">
        <f>REDBOOKSearchResults!AP42</f>
        <v>729.20380999999998</v>
      </c>
      <c r="C186" s="7">
        <f>REDBOOKSearchResults!AQ42</f>
        <v>1.7</v>
      </c>
      <c r="D186" s="4" t="str">
        <f>REDBOOKSearchResults!AR42</f>
        <v>59572-0415-21</v>
      </c>
      <c r="E186" t="str">
        <f>INDEX(REDBOOKSearchResults!$N$2:$N$13, MATCH(D186, REDBOOKSearchResults!$L$2:$L$13, 0))</f>
        <v>15 mg</v>
      </c>
      <c r="F186" t="str">
        <f>INDEX(REDBOOKSearchResults!$A$1:$AK$100, MATCH($D186, REDBOOKSearchResults!$L$1:$L$100, 0), MATCH(F$2, REDBOOKSearchResults!$1:$1, 0))</f>
        <v>21s ea</v>
      </c>
    </row>
    <row r="187" spans="1:6" x14ac:dyDescent="0.15">
      <c r="A187" s="4">
        <f>REDBOOKSearchResults!AO43</f>
        <v>42746</v>
      </c>
      <c r="B187" s="7">
        <f>REDBOOKSearchResults!AP43</f>
        <v>716.66237999999998</v>
      </c>
      <c r="C187" s="7">
        <f>REDBOOKSearchResults!AQ43</f>
        <v>8</v>
      </c>
      <c r="D187" s="4" t="str">
        <f>REDBOOKSearchResults!AR43</f>
        <v>59572-0415-21</v>
      </c>
      <c r="E187" t="str">
        <f>INDEX(REDBOOKSearchResults!$N$2:$N$13, MATCH(D187, REDBOOKSearchResults!$L$2:$L$13, 0))</f>
        <v>15 mg</v>
      </c>
      <c r="F187" t="str">
        <f>INDEX(REDBOOKSearchResults!$A$1:$AK$100, MATCH($D187, REDBOOKSearchResults!$L$1:$L$100, 0), MATCH(F$2, REDBOOKSearchResults!$1:$1, 0))</f>
        <v>21s ea</v>
      </c>
    </row>
    <row r="188" spans="1:6" x14ac:dyDescent="0.15">
      <c r="A188" s="4">
        <f>REDBOOKSearchResults!AO44</f>
        <v>42602</v>
      </c>
      <c r="B188" s="7">
        <f>REDBOOKSearchResults!AP44</f>
        <v>663.57619</v>
      </c>
      <c r="C188" s="7">
        <f>REDBOOKSearchResults!AQ44</f>
        <v>3</v>
      </c>
      <c r="D188" s="4" t="str">
        <f>REDBOOKSearchResults!AR44</f>
        <v>59572-0415-21</v>
      </c>
      <c r="E188" t="str">
        <f>INDEX(REDBOOKSearchResults!$N$2:$N$13, MATCH(D188, REDBOOKSearchResults!$L$2:$L$13, 0))</f>
        <v>15 mg</v>
      </c>
      <c r="F188" t="str">
        <f>INDEX(REDBOOKSearchResults!$A$1:$AK$100, MATCH($D188, REDBOOKSearchResults!$L$1:$L$100, 0), MATCH(F$2, REDBOOKSearchResults!$1:$1, 0))</f>
        <v>21s ea</v>
      </c>
    </row>
    <row r="189" spans="1:6" x14ac:dyDescent="0.15">
      <c r="A189" s="4">
        <f>REDBOOKSearchResults!AO45</f>
        <v>42439</v>
      </c>
      <c r="B189" s="7">
        <f>REDBOOKSearchResults!AP45</f>
        <v>644.24856999999997</v>
      </c>
      <c r="C189" s="7">
        <f>REDBOOKSearchResults!AQ45</f>
        <v>6.8</v>
      </c>
      <c r="D189" s="4" t="str">
        <f>REDBOOKSearchResults!AR45</f>
        <v>59572-0415-21</v>
      </c>
      <c r="E189" t="str">
        <f>INDEX(REDBOOKSearchResults!$N$2:$N$13, MATCH(D189, REDBOOKSearchResults!$L$2:$L$13, 0))</f>
        <v>15 mg</v>
      </c>
      <c r="F189" t="str">
        <f>INDEX(REDBOOKSearchResults!$A$1:$AK$100, MATCH($D189, REDBOOKSearchResults!$L$1:$L$100, 0), MATCH(F$2, REDBOOKSearchResults!$1:$1, 0))</f>
        <v>21s ea</v>
      </c>
    </row>
    <row r="190" spans="1:6" x14ac:dyDescent="0.15">
      <c r="A190" s="4">
        <f>REDBOOKSearchResults!AO46</f>
        <v>42279</v>
      </c>
      <c r="B190" s="7">
        <f>REDBOOKSearchResults!AP46</f>
        <v>603.22905000000003</v>
      </c>
      <c r="C190" s="7">
        <f>REDBOOKSearchResults!AQ46</f>
        <v>4</v>
      </c>
      <c r="D190" s="4" t="str">
        <f>REDBOOKSearchResults!AR46</f>
        <v>59572-0415-21</v>
      </c>
      <c r="E190" t="str">
        <f>INDEX(REDBOOKSearchResults!$N$2:$N$13, MATCH(D190, REDBOOKSearchResults!$L$2:$L$13, 0))</f>
        <v>15 mg</v>
      </c>
      <c r="F190" t="str">
        <f>INDEX(REDBOOKSearchResults!$A$1:$AK$100, MATCH($D190, REDBOOKSearchResults!$L$1:$L$100, 0), MATCH(F$2, REDBOOKSearchResults!$1:$1, 0))</f>
        <v>21s ea</v>
      </c>
    </row>
    <row r="191" spans="1:6" x14ac:dyDescent="0.15">
      <c r="A191" s="4">
        <f>REDBOOKSearchResults!AO47</f>
        <v>42180</v>
      </c>
      <c r="B191" s="7">
        <f>REDBOOKSearchResults!AP47</f>
        <v>580.02809999999999</v>
      </c>
      <c r="C191" s="7">
        <f>REDBOOKSearchResults!AQ47</f>
        <v>3</v>
      </c>
      <c r="D191" s="4" t="str">
        <f>REDBOOKSearchResults!AR47</f>
        <v>59572-0415-21</v>
      </c>
      <c r="E191" t="str">
        <f>INDEX(REDBOOKSearchResults!$N$2:$N$13, MATCH(D191, REDBOOKSearchResults!$L$2:$L$13, 0))</f>
        <v>15 mg</v>
      </c>
      <c r="F191" t="str">
        <f>INDEX(REDBOOKSearchResults!$A$1:$AK$100, MATCH($D191, REDBOOKSearchResults!$L$1:$L$100, 0), MATCH(F$2, REDBOOKSearchResults!$1:$1, 0))</f>
        <v>21s ea</v>
      </c>
    </row>
    <row r="192" spans="1:6" x14ac:dyDescent="0.15">
      <c r="A192" s="4">
        <f>REDBOOKSearchResults!AO48</f>
        <v>41996</v>
      </c>
      <c r="B192" s="7">
        <f>REDBOOKSearchResults!AP48</f>
        <v>563.13381000000004</v>
      </c>
      <c r="C192" s="7">
        <f>REDBOOKSearchResults!AQ48</f>
        <v>3</v>
      </c>
      <c r="D192" s="4" t="str">
        <f>REDBOOKSearchResults!AR48</f>
        <v>59572-0415-21</v>
      </c>
      <c r="E192" t="str">
        <f>INDEX(REDBOOKSearchResults!$N$2:$N$13, MATCH(D192, REDBOOKSearchResults!$L$2:$L$13, 0))</f>
        <v>15 mg</v>
      </c>
      <c r="F192" t="str">
        <f>INDEX(REDBOOKSearchResults!$A$1:$AK$100, MATCH($D192, REDBOOKSearchResults!$L$1:$L$100, 0), MATCH(F$2, REDBOOKSearchResults!$1:$1, 0))</f>
        <v>21s ea</v>
      </c>
    </row>
    <row r="193" spans="1:6" x14ac:dyDescent="0.15">
      <c r="A193" s="4">
        <f>REDBOOKSearchResults!AO49</f>
        <v>41885</v>
      </c>
      <c r="B193" s="7">
        <f>REDBOOKSearchResults!AP49</f>
        <v>546.7319</v>
      </c>
      <c r="C193" s="7">
        <f>REDBOOKSearchResults!AQ49</f>
        <v>4</v>
      </c>
      <c r="D193" s="4" t="str">
        <f>REDBOOKSearchResults!AR49</f>
        <v>59572-0415-21</v>
      </c>
      <c r="E193" t="str">
        <f>INDEX(REDBOOKSearchResults!$N$2:$N$13, MATCH(D193, REDBOOKSearchResults!$L$2:$L$13, 0))</f>
        <v>15 mg</v>
      </c>
      <c r="F193" t="str">
        <f>INDEX(REDBOOKSearchResults!$A$1:$AK$100, MATCH($D193, REDBOOKSearchResults!$L$1:$L$100, 0), MATCH(F$2, REDBOOKSearchResults!$1:$1, 0))</f>
        <v>21s ea</v>
      </c>
    </row>
    <row r="194" spans="1:6" x14ac:dyDescent="0.15">
      <c r="A194" s="4">
        <f>REDBOOKSearchResults!AO50</f>
        <v>41704</v>
      </c>
      <c r="B194" s="7">
        <f>REDBOOKSearchResults!AP50</f>
        <v>525.64619000000005</v>
      </c>
      <c r="C194" s="7">
        <f>REDBOOKSearchResults!AQ50</f>
        <v>4</v>
      </c>
      <c r="D194" s="4" t="str">
        <f>REDBOOKSearchResults!AR50</f>
        <v>59572-0415-21</v>
      </c>
      <c r="E194" t="str">
        <f>INDEX(REDBOOKSearchResults!$N$2:$N$13, MATCH(D194, REDBOOKSearchResults!$L$2:$L$13, 0))</f>
        <v>15 mg</v>
      </c>
      <c r="F194" t="str">
        <f>INDEX(REDBOOKSearchResults!$A$1:$AK$100, MATCH($D194, REDBOOKSearchResults!$L$1:$L$100, 0), MATCH(F$2, REDBOOKSearchResults!$1:$1, 0))</f>
        <v>21s ea</v>
      </c>
    </row>
    <row r="195" spans="1:6" x14ac:dyDescent="0.15">
      <c r="A195" s="4">
        <f>REDBOOKSearchResults!AO51</f>
        <v>41548</v>
      </c>
      <c r="B195" s="7">
        <f>REDBOOKSearchResults!AP51</f>
        <v>505.42905000000002</v>
      </c>
      <c r="C195" s="7">
        <f>REDBOOKSearchResults!AQ51</f>
        <v>3</v>
      </c>
      <c r="D195" s="4" t="str">
        <f>REDBOOKSearchResults!AR51</f>
        <v>59572-0415-21</v>
      </c>
      <c r="E195" t="str">
        <f>INDEX(REDBOOKSearchResults!$N$2:$N$13, MATCH(D195, REDBOOKSearchResults!$L$2:$L$13, 0))</f>
        <v>15 mg</v>
      </c>
      <c r="F195" t="str">
        <f>INDEX(REDBOOKSearchResults!$A$1:$AK$100, MATCH($D195, REDBOOKSearchResults!$L$1:$L$100, 0), MATCH(F$2, REDBOOKSearchResults!$1:$1, 0))</f>
        <v>21s ea</v>
      </c>
    </row>
    <row r="196" spans="1:6" x14ac:dyDescent="0.15">
      <c r="A196" s="4">
        <f>REDBOOKSearchResults!AO52</f>
        <v>41363</v>
      </c>
      <c r="B196" s="7">
        <f>REDBOOKSearchResults!AP52</f>
        <v>490.7081</v>
      </c>
      <c r="C196" s="7">
        <f>REDBOOKSearchResults!AQ52</f>
        <v>3</v>
      </c>
      <c r="D196" s="4" t="str">
        <f>REDBOOKSearchResults!AR52</f>
        <v>59572-0415-21</v>
      </c>
      <c r="E196" t="str">
        <f>INDEX(REDBOOKSearchResults!$N$2:$N$13, MATCH(D196, REDBOOKSearchResults!$L$2:$L$13, 0))</f>
        <v>15 mg</v>
      </c>
      <c r="F196" t="str">
        <f>INDEX(REDBOOKSearchResults!$A$1:$AK$100, MATCH($D196, REDBOOKSearchResults!$L$1:$L$100, 0), MATCH(F$2, REDBOOKSearchResults!$1:$1, 0))</f>
        <v>21s ea</v>
      </c>
    </row>
    <row r="197" spans="1:6" x14ac:dyDescent="0.15">
      <c r="A197" s="4">
        <f>REDBOOKSearchResults!AO53</f>
        <v>41214</v>
      </c>
      <c r="B197" s="7">
        <f>REDBOOKSearchResults!AP53</f>
        <v>476.41523999999998</v>
      </c>
      <c r="C197" s="7">
        <f>REDBOOKSearchResults!AQ53</f>
        <v>6</v>
      </c>
      <c r="D197" s="4" t="str">
        <f>REDBOOKSearchResults!AR53</f>
        <v>59572-0415-21</v>
      </c>
      <c r="E197" t="str">
        <f>INDEX(REDBOOKSearchResults!$N$2:$N$13, MATCH(D197, REDBOOKSearchResults!$L$2:$L$13, 0))</f>
        <v>15 mg</v>
      </c>
      <c r="F197" t="str">
        <f>INDEX(REDBOOKSearchResults!$A$1:$AK$100, MATCH($D197, REDBOOKSearchResults!$L$1:$L$100, 0), MATCH(F$2, REDBOOKSearchResults!$1:$1, 0))</f>
        <v>21s ea</v>
      </c>
    </row>
    <row r="198" spans="1:6" x14ac:dyDescent="0.15">
      <c r="A198" s="4">
        <f>REDBOOKSearchResults!AO54</f>
        <v>40876</v>
      </c>
      <c r="B198" s="7">
        <f>REDBOOKSearchResults!AP54</f>
        <v>449.44857000000002</v>
      </c>
      <c r="C198" s="7">
        <f>REDBOOKSearchResults!AQ54</f>
        <v>6</v>
      </c>
      <c r="D198" s="4" t="str">
        <f>REDBOOKSearchResults!AR54</f>
        <v>59572-0415-21</v>
      </c>
      <c r="E198" t="str">
        <f>INDEX(REDBOOKSearchResults!$N$2:$N$13, MATCH(D198, REDBOOKSearchResults!$L$2:$L$13, 0))</f>
        <v>15 mg</v>
      </c>
      <c r="F198" t="str">
        <f>INDEX(REDBOOKSearchResults!$A$1:$AK$100, MATCH($D198, REDBOOKSearchResults!$L$1:$L$100, 0), MATCH(F$2, REDBOOKSearchResults!$1:$1, 0))</f>
        <v>21s ea</v>
      </c>
    </row>
    <row r="199" spans="1:6" x14ac:dyDescent="0.15">
      <c r="A199" s="4">
        <f>REDBOOKSearchResults!AO55</f>
        <v>40523</v>
      </c>
      <c r="B199" s="7">
        <f>REDBOOKSearchResults!AP55</f>
        <v>424.00810000000001</v>
      </c>
      <c r="C199" s="7">
        <f>REDBOOKSearchResults!AQ55</f>
        <v>4</v>
      </c>
      <c r="D199" s="4" t="str">
        <f>REDBOOKSearchResults!AR55</f>
        <v>59572-0415-21</v>
      </c>
      <c r="E199" t="str">
        <f>INDEX(REDBOOKSearchResults!$N$2:$N$13, MATCH(D199, REDBOOKSearchResults!$L$2:$L$13, 0))</f>
        <v>15 mg</v>
      </c>
      <c r="F199" t="str">
        <f>INDEX(REDBOOKSearchResults!$A$1:$AK$100, MATCH($D199, REDBOOKSearchResults!$L$1:$L$100, 0), MATCH(F$2, REDBOOKSearchResults!$1:$1, 0))</f>
        <v>21s ea</v>
      </c>
    </row>
    <row r="200" spans="1:6" x14ac:dyDescent="0.15">
      <c r="A200" s="4">
        <f>REDBOOKSearchResults!AO56</f>
        <v>40183</v>
      </c>
      <c r="B200" s="7">
        <f>REDBOOKSearchResults!AP56</f>
        <v>407.70380999999998</v>
      </c>
      <c r="C200" s="7">
        <f>REDBOOKSearchResults!AQ56</f>
        <v>4.9000000000000004</v>
      </c>
      <c r="D200" s="4" t="str">
        <f>REDBOOKSearchResults!AR56</f>
        <v>59572-0415-21</v>
      </c>
      <c r="E200" t="str">
        <f>INDEX(REDBOOKSearchResults!$N$2:$N$13, MATCH(D200, REDBOOKSearchResults!$L$2:$L$13, 0))</f>
        <v>15 mg</v>
      </c>
      <c r="F200" t="str">
        <f>INDEX(REDBOOKSearchResults!$A$1:$AK$100, MATCH($D200, REDBOOKSearchResults!$L$1:$L$100, 0), MATCH(F$2, REDBOOKSearchResults!$1:$1, 0))</f>
        <v>21s ea</v>
      </c>
    </row>
    <row r="201" spans="1:6" x14ac:dyDescent="0.15">
      <c r="A201" s="4">
        <f>REDBOOKSearchResults!AO57</f>
        <v>39939</v>
      </c>
      <c r="B201" s="7">
        <f>REDBOOKSearchResults!AP57</f>
        <v>388.65951999999999</v>
      </c>
      <c r="C201" s="7">
        <f>REDBOOKSearchResults!AQ57</f>
        <v>2.9</v>
      </c>
      <c r="D201" s="4" t="str">
        <f>REDBOOKSearchResults!AR57</f>
        <v>59572-0415-21</v>
      </c>
      <c r="E201" t="str">
        <f>INDEX(REDBOOKSearchResults!$N$2:$N$13, MATCH(D201, REDBOOKSearchResults!$L$2:$L$13, 0))</f>
        <v>15 mg</v>
      </c>
      <c r="F201" t="str">
        <f>INDEX(REDBOOKSearchResults!$A$1:$AK$100, MATCH($D201, REDBOOKSearchResults!$L$1:$L$100, 0), MATCH(F$2, REDBOOKSearchResults!$1:$1, 0))</f>
        <v>21s ea</v>
      </c>
    </row>
    <row r="202" spans="1:6" x14ac:dyDescent="0.15">
      <c r="A202" s="4">
        <f>REDBOOKSearchResults!AO58</f>
        <v>39787</v>
      </c>
      <c r="B202" s="7">
        <f>REDBOOKSearchResults!AP58</f>
        <v>377.55952000000002</v>
      </c>
      <c r="C202" s="7">
        <f>REDBOOKSearchResults!AQ58</f>
        <v>4</v>
      </c>
      <c r="D202" s="4" t="str">
        <f>REDBOOKSearchResults!AR58</f>
        <v>59572-0415-21</v>
      </c>
      <c r="E202" t="str">
        <f>INDEX(REDBOOKSearchResults!$N$2:$N$13, MATCH(D202, REDBOOKSearchResults!$L$2:$L$13, 0))</f>
        <v>15 mg</v>
      </c>
      <c r="F202" t="str">
        <f>INDEX(REDBOOKSearchResults!$A$1:$AK$100, MATCH($D202, REDBOOKSearchResults!$L$1:$L$100, 0), MATCH(F$2, REDBOOKSearchResults!$1:$1, 0))</f>
        <v>21s ea</v>
      </c>
    </row>
    <row r="203" spans="1:6" x14ac:dyDescent="0.15">
      <c r="A203" s="4">
        <f>REDBOOKSearchResults!AO59</f>
        <v>39451</v>
      </c>
      <c r="B203" s="7">
        <f>REDBOOKSearchResults!AP59</f>
        <v>363.03762</v>
      </c>
      <c r="C203" s="7">
        <f>REDBOOKSearchResults!AQ59</f>
        <v>4.9000000000000004</v>
      </c>
      <c r="D203" s="4" t="str">
        <f>REDBOOKSearchResults!AR59</f>
        <v>59572-0415-21</v>
      </c>
      <c r="E203" t="str">
        <f>INDEX(REDBOOKSearchResults!$N$2:$N$13, MATCH(D203, REDBOOKSearchResults!$L$2:$L$13, 0))</f>
        <v>15 mg</v>
      </c>
      <c r="F203" t="str">
        <f>INDEX(REDBOOKSearchResults!$A$1:$AK$100, MATCH($D203, REDBOOKSearchResults!$L$1:$L$100, 0), MATCH(F$2, REDBOOKSearchResults!$1:$1, 0))</f>
        <v>21s ea</v>
      </c>
    </row>
    <row r="204" spans="1:6" x14ac:dyDescent="0.15">
      <c r="A204" s="4">
        <f>REDBOOKSearchResults!AO60</f>
        <v>39085</v>
      </c>
      <c r="B204" s="7">
        <f>REDBOOKSearchResults!AP60</f>
        <v>346.08</v>
      </c>
      <c r="C204" s="7">
        <f>REDBOOKSearchResults!AQ60</f>
        <v>3</v>
      </c>
      <c r="D204" s="4" t="str">
        <f>REDBOOKSearchResults!AR60</f>
        <v>59572-0415-21</v>
      </c>
      <c r="E204" t="str">
        <f>INDEX(REDBOOKSearchResults!$N$2:$N$13, MATCH(D204, REDBOOKSearchResults!$L$2:$L$13, 0))</f>
        <v>15 mg</v>
      </c>
      <c r="F204" t="str">
        <f>INDEX(REDBOOKSearchResults!$A$1:$AK$100, MATCH($D204, REDBOOKSearchResults!$L$1:$L$100, 0), MATCH(F$2, REDBOOKSearchResults!$1:$1, 0))</f>
        <v>21s ea</v>
      </c>
    </row>
    <row r="205" spans="1:6" x14ac:dyDescent="0.15">
      <c r="A205" s="4">
        <f>REDBOOKSearchResults!AO61</f>
        <v>38898</v>
      </c>
      <c r="B205" s="7">
        <f>REDBOOKSearchResults!AP61</f>
        <v>336</v>
      </c>
      <c r="C205" s="7">
        <f>REDBOOKSearchResults!AQ61</f>
        <v>0</v>
      </c>
      <c r="D205" s="4" t="str">
        <f>REDBOOKSearchResults!AR61</f>
        <v>59572-0415-21</v>
      </c>
      <c r="E205" t="str">
        <f>INDEX(REDBOOKSearchResults!$N$2:$N$13, MATCH(D205, REDBOOKSearchResults!$L$2:$L$13, 0))</f>
        <v>15 mg</v>
      </c>
      <c r="F205" t="str">
        <f>INDEX(REDBOOKSearchResults!$A$1:$AK$100, MATCH($D205, REDBOOKSearchResults!$L$1:$L$100, 0), MATCH(F$2, REDBOOKSearchResults!$1:$1, 0))</f>
        <v>21s ea</v>
      </c>
    </row>
    <row r="206" spans="1:6" x14ac:dyDescent="0.15">
      <c r="A206" s="4">
        <f>REDBOOKSearchResults!AT35</f>
        <v>45474</v>
      </c>
      <c r="B206" s="7">
        <f>REDBOOKSearchResults!AU35</f>
        <v>1069.8607999999999</v>
      </c>
      <c r="C206" s="7">
        <f>REDBOOKSearchResults!AV35</f>
        <v>7</v>
      </c>
      <c r="D206" s="4" t="str">
        <f>REDBOOKSearchResults!AW35</f>
        <v>59572-0415-00</v>
      </c>
      <c r="E206" t="str">
        <f>INDEX(REDBOOKSearchResults!$N$2:$N$13, MATCH(D206, REDBOOKSearchResults!$L$2:$L$13, 0))</f>
        <v>15 mg</v>
      </c>
      <c r="F206" t="str">
        <f>INDEX(REDBOOKSearchResults!$A$1:$AK$100, MATCH($D206, REDBOOKSearchResults!$L$1:$L$100, 0), MATCH(F$2, REDBOOKSearchResults!$1:$1, 0))</f>
        <v>100s ea</v>
      </c>
    </row>
    <row r="207" spans="1:6" x14ac:dyDescent="0.15">
      <c r="A207" s="4">
        <f>REDBOOKSearchResults!AT36</f>
        <v>44562</v>
      </c>
      <c r="B207" s="7">
        <f>REDBOOKSearchResults!AU36</f>
        <v>999.86990000000003</v>
      </c>
      <c r="C207" s="7">
        <f>REDBOOKSearchResults!AV36</f>
        <v>4.5</v>
      </c>
      <c r="D207" s="4" t="str">
        <f>REDBOOKSearchResults!AW36</f>
        <v>59572-0415-00</v>
      </c>
      <c r="E207" t="str">
        <f>INDEX(REDBOOKSearchResults!$N$2:$N$13, MATCH(D207, REDBOOKSearchResults!$L$2:$L$13, 0))</f>
        <v>15 mg</v>
      </c>
      <c r="F207" t="str">
        <f>INDEX(REDBOOKSearchResults!$A$1:$AK$100, MATCH($D207, REDBOOKSearchResults!$L$1:$L$100, 0), MATCH(F$2, REDBOOKSearchResults!$1:$1, 0))</f>
        <v>100s ea</v>
      </c>
    </row>
    <row r="208" spans="1:6" x14ac:dyDescent="0.15">
      <c r="A208" s="4">
        <f>REDBOOKSearchResults!AT37</f>
        <v>44197</v>
      </c>
      <c r="B208" s="7">
        <f>REDBOOKSearchResults!AU37</f>
        <v>956.81330000000003</v>
      </c>
      <c r="C208" s="7">
        <f>REDBOOKSearchResults!AV37</f>
        <v>4.5</v>
      </c>
      <c r="D208" s="4" t="str">
        <f>REDBOOKSearchResults!AW37</f>
        <v>59572-0415-00</v>
      </c>
      <c r="E208" t="str">
        <f>INDEX(REDBOOKSearchResults!$N$2:$N$13, MATCH(D208, REDBOOKSearchResults!$L$2:$L$13, 0))</f>
        <v>15 mg</v>
      </c>
      <c r="F208" t="str">
        <f>INDEX(REDBOOKSearchResults!$A$1:$AK$100, MATCH($D208, REDBOOKSearchResults!$L$1:$L$100, 0), MATCH(F$2, REDBOOKSearchResults!$1:$1, 0))</f>
        <v>100s ea</v>
      </c>
    </row>
    <row r="209" spans="1:6" x14ac:dyDescent="0.15">
      <c r="A209" s="4">
        <f>REDBOOKSearchResults!AT38</f>
        <v>43831</v>
      </c>
      <c r="B209" s="7">
        <f>REDBOOKSearchResults!AU38</f>
        <v>915.61080000000004</v>
      </c>
      <c r="C209" s="7">
        <f>REDBOOKSearchResults!AV38</f>
        <v>6</v>
      </c>
      <c r="D209" s="4" t="str">
        <f>REDBOOKSearchResults!AW38</f>
        <v>59572-0415-00</v>
      </c>
      <c r="E209" t="str">
        <f>INDEX(REDBOOKSearchResults!$N$2:$N$13, MATCH(D209, REDBOOKSearchResults!$L$2:$L$13, 0))</f>
        <v>15 mg</v>
      </c>
      <c r="F209" t="str">
        <f>INDEX(REDBOOKSearchResults!$A$1:$AK$100, MATCH($D209, REDBOOKSearchResults!$L$1:$L$100, 0), MATCH(F$2, REDBOOKSearchResults!$1:$1, 0))</f>
        <v>100s ea</v>
      </c>
    </row>
    <row r="210" spans="1:6" x14ac:dyDescent="0.15">
      <c r="A210" s="4">
        <f>REDBOOKSearchResults!AT39</f>
        <v>43468</v>
      </c>
      <c r="B210" s="7">
        <f>REDBOOKSearchResults!AU39</f>
        <v>863.78380000000004</v>
      </c>
      <c r="C210" s="7">
        <f>REDBOOKSearchResults!AV39</f>
        <v>3.5</v>
      </c>
      <c r="D210" s="4" t="str">
        <f>REDBOOKSearchResults!AW39</f>
        <v>59572-0415-00</v>
      </c>
      <c r="E210" t="str">
        <f>INDEX(REDBOOKSearchResults!$N$2:$N$13, MATCH(D210, REDBOOKSearchResults!$L$2:$L$13, 0))</f>
        <v>15 mg</v>
      </c>
      <c r="F210" t="str">
        <f>INDEX(REDBOOKSearchResults!$A$1:$AK$100, MATCH($D210, REDBOOKSearchResults!$L$1:$L$100, 0), MATCH(F$2, REDBOOKSearchResults!$1:$1, 0))</f>
        <v>100s ea</v>
      </c>
    </row>
    <row r="211" spans="1:6" x14ac:dyDescent="0.15">
      <c r="A211" s="4">
        <f>REDBOOKSearchResults!AT40</f>
        <v>43291</v>
      </c>
      <c r="B211" s="7">
        <f>REDBOOKSearchResults!AU40</f>
        <v>834.57380000000001</v>
      </c>
      <c r="C211" s="7">
        <f>REDBOOKSearchResults!AV40</f>
        <v>5</v>
      </c>
      <c r="D211" s="4" t="str">
        <f>REDBOOKSearchResults!AW40</f>
        <v>59572-0415-00</v>
      </c>
      <c r="E211" t="str">
        <f>INDEX(REDBOOKSearchResults!$N$2:$N$13, MATCH(D211, REDBOOKSearchResults!$L$2:$L$13, 0))</f>
        <v>15 mg</v>
      </c>
      <c r="F211" t="str">
        <f>INDEX(REDBOOKSearchResults!$A$1:$AK$100, MATCH($D211, REDBOOKSearchResults!$L$1:$L$100, 0), MATCH(F$2, REDBOOKSearchResults!$1:$1, 0))</f>
        <v>100s ea</v>
      </c>
    </row>
    <row r="212" spans="1:6" x14ac:dyDescent="0.15">
      <c r="A212" s="4">
        <f>REDBOOKSearchResults!AT41</f>
        <v>43028</v>
      </c>
      <c r="B212" s="7">
        <f>REDBOOKSearchResults!AU41</f>
        <v>794.83209999999997</v>
      </c>
      <c r="C212" s="7">
        <f>REDBOOKSearchResults!AV41</f>
        <v>9</v>
      </c>
      <c r="D212" s="4" t="str">
        <f>REDBOOKSearchResults!AW41</f>
        <v>59572-0415-00</v>
      </c>
      <c r="E212" t="str">
        <f>INDEX(REDBOOKSearchResults!$N$2:$N$13, MATCH(D212, REDBOOKSearchResults!$L$2:$L$13, 0))</f>
        <v>15 mg</v>
      </c>
      <c r="F212" t="str">
        <f>INDEX(REDBOOKSearchResults!$A$1:$AK$100, MATCH($D212, REDBOOKSearchResults!$L$1:$L$100, 0), MATCH(F$2, REDBOOKSearchResults!$1:$1, 0))</f>
        <v>100s ea</v>
      </c>
    </row>
    <row r="213" spans="1:6" x14ac:dyDescent="0.15">
      <c r="A213" s="4">
        <f>REDBOOKSearchResults!AT42</f>
        <v>42927</v>
      </c>
      <c r="B213" s="7">
        <f>REDBOOKSearchResults!AU42</f>
        <v>729.2038</v>
      </c>
      <c r="C213" s="7">
        <f>REDBOOKSearchResults!AV42</f>
        <v>1.8</v>
      </c>
      <c r="D213" s="4" t="str">
        <f>REDBOOKSearchResults!AW42</f>
        <v>59572-0415-00</v>
      </c>
      <c r="E213" t="str">
        <f>INDEX(REDBOOKSearchResults!$N$2:$N$13, MATCH(D213, REDBOOKSearchResults!$L$2:$L$13, 0))</f>
        <v>15 mg</v>
      </c>
      <c r="F213" t="str">
        <f>INDEX(REDBOOKSearchResults!$A$1:$AK$100, MATCH($D213, REDBOOKSearchResults!$L$1:$L$100, 0), MATCH(F$2, REDBOOKSearchResults!$1:$1, 0))</f>
        <v>100s ea</v>
      </c>
    </row>
    <row r="214" spans="1:6" x14ac:dyDescent="0.15">
      <c r="A214" s="4">
        <f>REDBOOKSearchResults!AT43</f>
        <v>42746</v>
      </c>
      <c r="B214" s="7">
        <f>REDBOOKSearchResults!AU43</f>
        <v>716.66219999999998</v>
      </c>
      <c r="C214" s="7">
        <f>REDBOOKSearchResults!AV43</f>
        <v>8</v>
      </c>
      <c r="D214" s="4" t="str">
        <f>REDBOOKSearchResults!AW43</f>
        <v>59572-0415-00</v>
      </c>
      <c r="E214" t="str">
        <f>INDEX(REDBOOKSearchResults!$N$2:$N$13, MATCH(D214, REDBOOKSearchResults!$L$2:$L$13, 0))</f>
        <v>15 mg</v>
      </c>
      <c r="F214" t="str">
        <f>INDEX(REDBOOKSearchResults!$A$1:$AK$100, MATCH($D214, REDBOOKSearchResults!$L$1:$L$100, 0), MATCH(F$2, REDBOOKSearchResults!$1:$1, 0))</f>
        <v>100s ea</v>
      </c>
    </row>
    <row r="215" spans="1:6" x14ac:dyDescent="0.15">
      <c r="A215" s="4">
        <f>REDBOOKSearchResults!AT44</f>
        <v>42602</v>
      </c>
      <c r="B215" s="7">
        <f>REDBOOKSearchResults!AU44</f>
        <v>663.57619999999997</v>
      </c>
      <c r="C215" s="7">
        <f>REDBOOKSearchResults!AV44</f>
        <v>3</v>
      </c>
      <c r="D215" s="4" t="str">
        <f>REDBOOKSearchResults!AW44</f>
        <v>59572-0415-00</v>
      </c>
      <c r="E215" t="str">
        <f>INDEX(REDBOOKSearchResults!$N$2:$N$13, MATCH(D215, REDBOOKSearchResults!$L$2:$L$13, 0))</f>
        <v>15 mg</v>
      </c>
      <c r="F215" t="str">
        <f>INDEX(REDBOOKSearchResults!$A$1:$AK$100, MATCH($D215, REDBOOKSearchResults!$L$1:$L$100, 0), MATCH(F$2, REDBOOKSearchResults!$1:$1, 0))</f>
        <v>100s ea</v>
      </c>
    </row>
    <row r="216" spans="1:6" x14ac:dyDescent="0.15">
      <c r="A216" s="4">
        <f>REDBOOKSearchResults!AT45</f>
        <v>42439</v>
      </c>
      <c r="B216" s="7">
        <f>REDBOOKSearchResults!AU45</f>
        <v>644.24869999999999</v>
      </c>
      <c r="C216" s="7">
        <f>REDBOOKSearchResults!AV45</f>
        <v>6.8</v>
      </c>
      <c r="D216" s="4" t="str">
        <f>REDBOOKSearchResults!AW45</f>
        <v>59572-0415-00</v>
      </c>
      <c r="E216" t="str">
        <f>INDEX(REDBOOKSearchResults!$N$2:$N$13, MATCH(D216, REDBOOKSearchResults!$L$2:$L$13, 0))</f>
        <v>15 mg</v>
      </c>
      <c r="F216" t="str">
        <f>INDEX(REDBOOKSearchResults!$A$1:$AK$100, MATCH($D216, REDBOOKSearchResults!$L$1:$L$100, 0), MATCH(F$2, REDBOOKSearchResults!$1:$1, 0))</f>
        <v>100s ea</v>
      </c>
    </row>
    <row r="217" spans="1:6" x14ac:dyDescent="0.15">
      <c r="A217" s="4">
        <f>REDBOOKSearchResults!AT46</f>
        <v>42279</v>
      </c>
      <c r="B217" s="7">
        <f>REDBOOKSearchResults!AU46</f>
        <v>603.22910000000002</v>
      </c>
      <c r="C217" s="7">
        <f>REDBOOKSearchResults!AV46</f>
        <v>4</v>
      </c>
      <c r="D217" s="4" t="str">
        <f>REDBOOKSearchResults!AW46</f>
        <v>59572-0415-00</v>
      </c>
      <c r="E217" t="str">
        <f>INDEX(REDBOOKSearchResults!$N$2:$N$13, MATCH(D217, REDBOOKSearchResults!$L$2:$L$13, 0))</f>
        <v>15 mg</v>
      </c>
      <c r="F217" t="str">
        <f>INDEX(REDBOOKSearchResults!$A$1:$AK$100, MATCH($D217, REDBOOKSearchResults!$L$1:$L$100, 0), MATCH(F$2, REDBOOKSearchResults!$1:$1, 0))</f>
        <v>100s ea</v>
      </c>
    </row>
    <row r="218" spans="1:6" x14ac:dyDescent="0.15">
      <c r="A218" s="4">
        <f>REDBOOKSearchResults!AT47</f>
        <v>42180</v>
      </c>
      <c r="B218" s="7">
        <f>REDBOOKSearchResults!AU47</f>
        <v>580.02790000000005</v>
      </c>
      <c r="C218" s="7">
        <f>REDBOOKSearchResults!AV47</f>
        <v>3</v>
      </c>
      <c r="D218" s="4" t="str">
        <f>REDBOOKSearchResults!AW47</f>
        <v>59572-0415-00</v>
      </c>
      <c r="E218" t="str">
        <f>INDEX(REDBOOKSearchResults!$N$2:$N$13, MATCH(D218, REDBOOKSearchResults!$L$2:$L$13, 0))</f>
        <v>15 mg</v>
      </c>
      <c r="F218" t="str">
        <f>INDEX(REDBOOKSearchResults!$A$1:$AK$100, MATCH($D218, REDBOOKSearchResults!$L$1:$L$100, 0), MATCH(F$2, REDBOOKSearchResults!$1:$1, 0))</f>
        <v>100s ea</v>
      </c>
    </row>
    <row r="219" spans="1:6" x14ac:dyDescent="0.15">
      <c r="A219" s="4">
        <f>REDBOOKSearchResults!AT48</f>
        <v>41996</v>
      </c>
      <c r="B219" s="7">
        <f>REDBOOKSearchResults!AU48</f>
        <v>563.13390000000004</v>
      </c>
      <c r="C219" s="7">
        <f>REDBOOKSearchResults!AV48</f>
        <v>3</v>
      </c>
      <c r="D219" s="4" t="str">
        <f>REDBOOKSearchResults!AW48</f>
        <v>59572-0415-00</v>
      </c>
      <c r="E219" t="str">
        <f>INDEX(REDBOOKSearchResults!$N$2:$N$13, MATCH(D219, REDBOOKSearchResults!$L$2:$L$13, 0))</f>
        <v>15 mg</v>
      </c>
      <c r="F219" t="str">
        <f>INDEX(REDBOOKSearchResults!$A$1:$AK$100, MATCH($D219, REDBOOKSearchResults!$L$1:$L$100, 0), MATCH(F$2, REDBOOKSearchResults!$1:$1, 0))</f>
        <v>100s ea</v>
      </c>
    </row>
    <row r="220" spans="1:6" x14ac:dyDescent="0.15">
      <c r="A220" s="4">
        <f>REDBOOKSearchResults!AT49</f>
        <v>41885</v>
      </c>
      <c r="B220" s="7">
        <f>REDBOOKSearchResults!AU49</f>
        <v>546.73199999999997</v>
      </c>
      <c r="C220" s="7">
        <f>REDBOOKSearchResults!AV49</f>
        <v>4</v>
      </c>
      <c r="D220" s="4" t="str">
        <f>REDBOOKSearchResults!AW49</f>
        <v>59572-0415-00</v>
      </c>
      <c r="E220" t="str">
        <f>INDEX(REDBOOKSearchResults!$N$2:$N$13, MATCH(D220, REDBOOKSearchResults!$L$2:$L$13, 0))</f>
        <v>15 mg</v>
      </c>
      <c r="F220" t="str">
        <f>INDEX(REDBOOKSearchResults!$A$1:$AK$100, MATCH($D220, REDBOOKSearchResults!$L$1:$L$100, 0), MATCH(F$2, REDBOOKSearchResults!$1:$1, 0))</f>
        <v>100s ea</v>
      </c>
    </row>
    <row r="221" spans="1:6" x14ac:dyDescent="0.15">
      <c r="A221" s="4">
        <f>REDBOOKSearchResults!AT50</f>
        <v>41704</v>
      </c>
      <c r="B221" s="7">
        <f>REDBOOKSearchResults!AU50</f>
        <v>525.64620000000002</v>
      </c>
      <c r="C221" s="7">
        <f>REDBOOKSearchResults!AV50</f>
        <v>4</v>
      </c>
      <c r="D221" s="4" t="str">
        <f>REDBOOKSearchResults!AW50</f>
        <v>59572-0415-00</v>
      </c>
      <c r="E221" t="str">
        <f>INDEX(REDBOOKSearchResults!$N$2:$N$13, MATCH(D221, REDBOOKSearchResults!$L$2:$L$13, 0))</f>
        <v>15 mg</v>
      </c>
      <c r="F221" t="str">
        <f>INDEX(REDBOOKSearchResults!$A$1:$AK$100, MATCH($D221, REDBOOKSearchResults!$L$1:$L$100, 0), MATCH(F$2, REDBOOKSearchResults!$1:$1, 0))</f>
        <v>100s ea</v>
      </c>
    </row>
    <row r="222" spans="1:6" x14ac:dyDescent="0.15">
      <c r="A222" s="4">
        <f>REDBOOKSearchResults!AT51</f>
        <v>41548</v>
      </c>
      <c r="B222" s="7">
        <f>REDBOOKSearchResults!AU51</f>
        <v>505.42910000000001</v>
      </c>
      <c r="C222" s="7">
        <f>REDBOOKSearchResults!AV51</f>
        <v>3</v>
      </c>
      <c r="D222" s="4" t="str">
        <f>REDBOOKSearchResults!AW51</f>
        <v>59572-0415-00</v>
      </c>
      <c r="E222" t="str">
        <f>INDEX(REDBOOKSearchResults!$N$2:$N$13, MATCH(D222, REDBOOKSearchResults!$L$2:$L$13, 0))</f>
        <v>15 mg</v>
      </c>
      <c r="F222" t="str">
        <f>INDEX(REDBOOKSearchResults!$A$1:$AK$100, MATCH($D222, REDBOOKSearchResults!$L$1:$L$100, 0), MATCH(F$2, REDBOOKSearchResults!$1:$1, 0))</f>
        <v>100s ea</v>
      </c>
    </row>
    <row r="223" spans="1:6" x14ac:dyDescent="0.15">
      <c r="A223" s="4">
        <f>REDBOOKSearchResults!AT52</f>
        <v>41363</v>
      </c>
      <c r="B223" s="7">
        <f>REDBOOKSearchResults!AU52</f>
        <v>490.7079</v>
      </c>
      <c r="C223" s="7">
        <f>REDBOOKSearchResults!AV52</f>
        <v>3</v>
      </c>
      <c r="D223" s="4" t="str">
        <f>REDBOOKSearchResults!AW52</f>
        <v>59572-0415-00</v>
      </c>
      <c r="E223" t="str">
        <f>INDEX(REDBOOKSearchResults!$N$2:$N$13, MATCH(D223, REDBOOKSearchResults!$L$2:$L$13, 0))</f>
        <v>15 mg</v>
      </c>
      <c r="F223" t="str">
        <f>INDEX(REDBOOKSearchResults!$A$1:$AK$100, MATCH($D223, REDBOOKSearchResults!$L$1:$L$100, 0), MATCH(F$2, REDBOOKSearchResults!$1:$1, 0))</f>
        <v>100s ea</v>
      </c>
    </row>
    <row r="224" spans="1:6" x14ac:dyDescent="0.15">
      <c r="A224" s="4">
        <f>REDBOOKSearchResults!AT53</f>
        <v>41214</v>
      </c>
      <c r="B224" s="7">
        <f>REDBOOKSearchResults!AU53</f>
        <v>476.41539999999998</v>
      </c>
      <c r="C224" s="7">
        <f>REDBOOKSearchResults!AV53</f>
        <v>6</v>
      </c>
      <c r="D224" s="4" t="str">
        <f>REDBOOKSearchResults!AW53</f>
        <v>59572-0415-00</v>
      </c>
      <c r="E224" t="str">
        <f>INDEX(REDBOOKSearchResults!$N$2:$N$13, MATCH(D224, REDBOOKSearchResults!$L$2:$L$13, 0))</f>
        <v>15 mg</v>
      </c>
      <c r="F224" t="str">
        <f>INDEX(REDBOOKSearchResults!$A$1:$AK$100, MATCH($D224, REDBOOKSearchResults!$L$1:$L$100, 0), MATCH(F$2, REDBOOKSearchResults!$1:$1, 0))</f>
        <v>100s ea</v>
      </c>
    </row>
    <row r="225" spans="1:6" x14ac:dyDescent="0.15">
      <c r="A225" s="4">
        <f>REDBOOKSearchResults!AT54</f>
        <v>40876</v>
      </c>
      <c r="B225" s="7">
        <f>REDBOOKSearchResults!AU54</f>
        <v>449.44850000000002</v>
      </c>
      <c r="C225" s="7">
        <f>REDBOOKSearchResults!AV54</f>
        <v>6</v>
      </c>
      <c r="D225" s="4" t="str">
        <f>REDBOOKSearchResults!AW54</f>
        <v>59572-0415-00</v>
      </c>
      <c r="E225" t="str">
        <f>INDEX(REDBOOKSearchResults!$N$2:$N$13, MATCH(D225, REDBOOKSearchResults!$L$2:$L$13, 0))</f>
        <v>15 mg</v>
      </c>
      <c r="F225" t="str">
        <f>INDEX(REDBOOKSearchResults!$A$1:$AK$100, MATCH($D225, REDBOOKSearchResults!$L$1:$L$100, 0), MATCH(F$2, REDBOOKSearchResults!$1:$1, 0))</f>
        <v>100s ea</v>
      </c>
    </row>
    <row r="226" spans="1:6" x14ac:dyDescent="0.15">
      <c r="A226" s="4">
        <f>REDBOOKSearchResults!AT55</f>
        <v>40523</v>
      </c>
      <c r="B226" s="7">
        <f>REDBOOKSearchResults!AU55</f>
        <v>424.00799999999998</v>
      </c>
      <c r="C226" s="7">
        <f>REDBOOKSearchResults!AV55</f>
        <v>4</v>
      </c>
      <c r="D226" s="4" t="str">
        <f>REDBOOKSearchResults!AW55</f>
        <v>59572-0415-00</v>
      </c>
      <c r="E226" t="str">
        <f>INDEX(REDBOOKSearchResults!$N$2:$N$13, MATCH(D226, REDBOOKSearchResults!$L$2:$L$13, 0))</f>
        <v>15 mg</v>
      </c>
      <c r="F226" t="str">
        <f>INDEX(REDBOOKSearchResults!$A$1:$AK$100, MATCH($D226, REDBOOKSearchResults!$L$1:$L$100, 0), MATCH(F$2, REDBOOKSearchResults!$1:$1, 0))</f>
        <v>100s ea</v>
      </c>
    </row>
    <row r="227" spans="1:6" x14ac:dyDescent="0.15">
      <c r="A227" s="4">
        <f>REDBOOKSearchResults!AT56</f>
        <v>40183</v>
      </c>
      <c r="B227" s="7">
        <f>REDBOOKSearchResults!AU56</f>
        <v>407.70409999999998</v>
      </c>
      <c r="C227" s="7">
        <f>REDBOOKSearchResults!AV56</f>
        <v>4.9000000000000004</v>
      </c>
      <c r="D227" s="4" t="str">
        <f>REDBOOKSearchResults!AW56</f>
        <v>59572-0415-00</v>
      </c>
      <c r="E227" t="str">
        <f>INDEX(REDBOOKSearchResults!$N$2:$N$13, MATCH(D227, REDBOOKSearchResults!$L$2:$L$13, 0))</f>
        <v>15 mg</v>
      </c>
      <c r="F227" t="str">
        <f>INDEX(REDBOOKSearchResults!$A$1:$AK$100, MATCH($D227, REDBOOKSearchResults!$L$1:$L$100, 0), MATCH(F$2, REDBOOKSearchResults!$1:$1, 0))</f>
        <v>100s ea</v>
      </c>
    </row>
    <row r="228" spans="1:6" x14ac:dyDescent="0.15">
      <c r="A228" s="4">
        <f>REDBOOKSearchResults!AT57</f>
        <v>39939</v>
      </c>
      <c r="B228" s="7">
        <f>REDBOOKSearchResults!AU57</f>
        <v>388.65969999999999</v>
      </c>
      <c r="C228" s="7">
        <f>REDBOOKSearchResults!AV57</f>
        <v>2.9</v>
      </c>
      <c r="D228" s="4" t="str">
        <f>REDBOOKSearchResults!AW57</f>
        <v>59572-0415-00</v>
      </c>
      <c r="E228" t="str">
        <f>INDEX(REDBOOKSearchResults!$N$2:$N$13, MATCH(D228, REDBOOKSearchResults!$L$2:$L$13, 0))</f>
        <v>15 mg</v>
      </c>
      <c r="F228" t="str">
        <f>INDEX(REDBOOKSearchResults!$A$1:$AK$100, MATCH($D228, REDBOOKSearchResults!$L$1:$L$100, 0), MATCH(F$2, REDBOOKSearchResults!$1:$1, 0))</f>
        <v>100s ea</v>
      </c>
    </row>
    <row r="229" spans="1:6" x14ac:dyDescent="0.15">
      <c r="A229" s="4">
        <f>REDBOOKSearchResults!AT58</f>
        <v>39787</v>
      </c>
      <c r="B229" s="7">
        <f>REDBOOKSearchResults!AU58</f>
        <v>377.55950000000001</v>
      </c>
      <c r="C229" s="7">
        <f>REDBOOKSearchResults!AV58</f>
        <v>4</v>
      </c>
      <c r="D229" s="4" t="str">
        <f>REDBOOKSearchResults!AW58</f>
        <v>59572-0415-00</v>
      </c>
      <c r="E229" t="str">
        <f>INDEX(REDBOOKSearchResults!$N$2:$N$13, MATCH(D229, REDBOOKSearchResults!$L$2:$L$13, 0))</f>
        <v>15 mg</v>
      </c>
      <c r="F229" t="str">
        <f>INDEX(REDBOOKSearchResults!$A$1:$AK$100, MATCH($D229, REDBOOKSearchResults!$L$1:$L$100, 0), MATCH(F$2, REDBOOKSearchResults!$1:$1, 0))</f>
        <v>100s ea</v>
      </c>
    </row>
    <row r="230" spans="1:6" x14ac:dyDescent="0.15">
      <c r="A230" s="4">
        <f>REDBOOKSearchResults!AT59</f>
        <v>39451</v>
      </c>
      <c r="B230" s="7">
        <f>REDBOOKSearchResults!AU59</f>
        <v>363.03789999999998</v>
      </c>
      <c r="C230" s="7">
        <f>REDBOOKSearchResults!AV59</f>
        <v>4.9000000000000004</v>
      </c>
      <c r="D230" s="4" t="str">
        <f>REDBOOKSearchResults!AW59</f>
        <v>59572-0415-00</v>
      </c>
      <c r="E230" t="str">
        <f>INDEX(REDBOOKSearchResults!$N$2:$N$13, MATCH(D230, REDBOOKSearchResults!$L$2:$L$13, 0))</f>
        <v>15 mg</v>
      </c>
      <c r="F230" t="str">
        <f>INDEX(REDBOOKSearchResults!$A$1:$AK$100, MATCH($D230, REDBOOKSearchResults!$L$1:$L$100, 0), MATCH(F$2, REDBOOKSearchResults!$1:$1, 0))</f>
        <v>100s ea</v>
      </c>
    </row>
    <row r="231" spans="1:6" x14ac:dyDescent="0.15">
      <c r="A231" s="4">
        <f>REDBOOKSearchResults!AT60</f>
        <v>39085</v>
      </c>
      <c r="B231" s="7">
        <f>REDBOOKSearchResults!AU60</f>
        <v>346.08</v>
      </c>
      <c r="C231" s="7">
        <f>REDBOOKSearchResults!AV60</f>
        <v>3</v>
      </c>
      <c r="D231" s="4" t="str">
        <f>REDBOOKSearchResults!AW60</f>
        <v>59572-0415-00</v>
      </c>
      <c r="E231" t="str">
        <f>INDEX(REDBOOKSearchResults!$N$2:$N$13, MATCH(D231, REDBOOKSearchResults!$L$2:$L$13, 0))</f>
        <v>15 mg</v>
      </c>
      <c r="F231" t="str">
        <f>INDEX(REDBOOKSearchResults!$A$1:$AK$100, MATCH($D231, REDBOOKSearchResults!$L$1:$L$100, 0), MATCH(F$2, REDBOOKSearchResults!$1:$1, 0))</f>
        <v>100s ea</v>
      </c>
    </row>
    <row r="232" spans="1:6" x14ac:dyDescent="0.15">
      <c r="A232" s="4">
        <f>REDBOOKSearchResults!AT61</f>
        <v>38898</v>
      </c>
      <c r="B232" s="7">
        <f>REDBOOKSearchResults!AU61</f>
        <v>336</v>
      </c>
      <c r="C232" s="7">
        <f>REDBOOKSearchResults!AV61</f>
        <v>0</v>
      </c>
      <c r="D232" s="4" t="str">
        <f>REDBOOKSearchResults!AW61</f>
        <v>59572-0415-00</v>
      </c>
      <c r="E232" t="str">
        <f>INDEX(REDBOOKSearchResults!$N$2:$N$13, MATCH(D232, REDBOOKSearchResults!$L$2:$L$13, 0))</f>
        <v>15 mg</v>
      </c>
      <c r="F232" t="str">
        <f>INDEX(REDBOOKSearchResults!$A$1:$AK$100, MATCH($D232, REDBOOKSearchResults!$L$1:$L$100, 0), MATCH(F$2, REDBOOKSearchResults!$1:$1, 0))</f>
        <v>100s ea</v>
      </c>
    </row>
    <row r="233" spans="1:6" x14ac:dyDescent="0.15">
      <c r="A233" s="4">
        <f>REDBOOKSearchResults!AY35</f>
        <v>45474</v>
      </c>
      <c r="B233" s="7">
        <f>REDBOOKSearchResults!AZ35</f>
        <v>1069.8607999999999</v>
      </c>
      <c r="C233" s="7">
        <f>REDBOOKSearchResults!BA35</f>
        <v>7</v>
      </c>
      <c r="D233" s="4" t="str">
        <f>REDBOOKSearchResults!BB35</f>
        <v>59572-0410-00</v>
      </c>
      <c r="E233" t="str">
        <f>INDEX(REDBOOKSearchResults!$N$2:$N$13, MATCH(D233, REDBOOKSearchResults!$L$2:$L$13, 0))</f>
        <v>10 mg</v>
      </c>
      <c r="F233" t="str">
        <f>INDEX(REDBOOKSearchResults!$A$1:$AK$100, MATCH($D233, REDBOOKSearchResults!$L$1:$L$100, 0), MATCH(F$2, REDBOOKSearchResults!$1:$1, 0))</f>
        <v>100s ea</v>
      </c>
    </row>
    <row r="234" spans="1:6" x14ac:dyDescent="0.15">
      <c r="A234" s="4">
        <f>REDBOOKSearchResults!AY36</f>
        <v>44562</v>
      </c>
      <c r="B234" s="7">
        <f>REDBOOKSearchResults!AZ36</f>
        <v>999.86990000000003</v>
      </c>
      <c r="C234" s="7">
        <f>REDBOOKSearchResults!BA36</f>
        <v>4.5</v>
      </c>
      <c r="D234" s="4" t="str">
        <f>REDBOOKSearchResults!BB36</f>
        <v>59572-0410-00</v>
      </c>
      <c r="E234" t="str">
        <f>INDEX(REDBOOKSearchResults!$N$2:$N$13, MATCH(D234, REDBOOKSearchResults!$L$2:$L$13, 0))</f>
        <v>10 mg</v>
      </c>
      <c r="F234" t="str">
        <f>INDEX(REDBOOKSearchResults!$A$1:$AK$100, MATCH($D234, REDBOOKSearchResults!$L$1:$L$100, 0), MATCH(F$2, REDBOOKSearchResults!$1:$1, 0))</f>
        <v>100s ea</v>
      </c>
    </row>
    <row r="235" spans="1:6" x14ac:dyDescent="0.15">
      <c r="A235" s="4">
        <f>REDBOOKSearchResults!AY37</f>
        <v>44197</v>
      </c>
      <c r="B235" s="7">
        <f>REDBOOKSearchResults!AZ37</f>
        <v>956.81330000000003</v>
      </c>
      <c r="C235" s="7">
        <f>REDBOOKSearchResults!BA37</f>
        <v>4.5</v>
      </c>
      <c r="D235" s="4" t="str">
        <f>REDBOOKSearchResults!BB37</f>
        <v>59572-0410-00</v>
      </c>
      <c r="E235" t="str">
        <f>INDEX(REDBOOKSearchResults!$N$2:$N$13, MATCH(D235, REDBOOKSearchResults!$L$2:$L$13, 0))</f>
        <v>10 mg</v>
      </c>
      <c r="F235" t="str">
        <f>INDEX(REDBOOKSearchResults!$A$1:$AK$100, MATCH($D235, REDBOOKSearchResults!$L$1:$L$100, 0), MATCH(F$2, REDBOOKSearchResults!$1:$1, 0))</f>
        <v>100s ea</v>
      </c>
    </row>
    <row r="236" spans="1:6" x14ac:dyDescent="0.15">
      <c r="A236" s="4">
        <f>REDBOOKSearchResults!AY38</f>
        <v>43831</v>
      </c>
      <c r="B236" s="7">
        <f>REDBOOKSearchResults!AZ38</f>
        <v>915.61080000000004</v>
      </c>
      <c r="C236" s="7">
        <f>REDBOOKSearchResults!BA38</f>
        <v>6</v>
      </c>
      <c r="D236" s="4" t="str">
        <f>REDBOOKSearchResults!BB38</f>
        <v>59572-0410-00</v>
      </c>
      <c r="E236" t="str">
        <f>INDEX(REDBOOKSearchResults!$N$2:$N$13, MATCH(D236, REDBOOKSearchResults!$L$2:$L$13, 0))</f>
        <v>10 mg</v>
      </c>
      <c r="F236" t="str">
        <f>INDEX(REDBOOKSearchResults!$A$1:$AK$100, MATCH($D236, REDBOOKSearchResults!$L$1:$L$100, 0), MATCH(F$2, REDBOOKSearchResults!$1:$1, 0))</f>
        <v>100s ea</v>
      </c>
    </row>
    <row r="237" spans="1:6" x14ac:dyDescent="0.15">
      <c r="A237" s="4">
        <f>REDBOOKSearchResults!AY39</f>
        <v>43468</v>
      </c>
      <c r="B237" s="7">
        <f>REDBOOKSearchResults!AZ39</f>
        <v>863.78380000000004</v>
      </c>
      <c r="C237" s="7">
        <f>REDBOOKSearchResults!BA39</f>
        <v>3.5</v>
      </c>
      <c r="D237" s="4" t="str">
        <f>REDBOOKSearchResults!BB39</f>
        <v>59572-0410-00</v>
      </c>
      <c r="E237" t="str">
        <f>INDEX(REDBOOKSearchResults!$N$2:$N$13, MATCH(D237, REDBOOKSearchResults!$L$2:$L$13, 0))</f>
        <v>10 mg</v>
      </c>
      <c r="F237" t="str">
        <f>INDEX(REDBOOKSearchResults!$A$1:$AK$100, MATCH($D237, REDBOOKSearchResults!$L$1:$L$100, 0), MATCH(F$2, REDBOOKSearchResults!$1:$1, 0))</f>
        <v>100s ea</v>
      </c>
    </row>
    <row r="238" spans="1:6" x14ac:dyDescent="0.15">
      <c r="A238" s="4">
        <f>REDBOOKSearchResults!AY40</f>
        <v>43291</v>
      </c>
      <c r="B238" s="7">
        <f>REDBOOKSearchResults!AZ40</f>
        <v>834.57380000000001</v>
      </c>
      <c r="C238" s="7">
        <f>REDBOOKSearchResults!BA40</f>
        <v>5</v>
      </c>
      <c r="D238" s="4" t="str">
        <f>REDBOOKSearchResults!BB40</f>
        <v>59572-0410-00</v>
      </c>
      <c r="E238" t="str">
        <f>INDEX(REDBOOKSearchResults!$N$2:$N$13, MATCH(D238, REDBOOKSearchResults!$L$2:$L$13, 0))</f>
        <v>10 mg</v>
      </c>
      <c r="F238" t="str">
        <f>INDEX(REDBOOKSearchResults!$A$1:$AK$100, MATCH($D238, REDBOOKSearchResults!$L$1:$L$100, 0), MATCH(F$2, REDBOOKSearchResults!$1:$1, 0))</f>
        <v>100s ea</v>
      </c>
    </row>
    <row r="239" spans="1:6" x14ac:dyDescent="0.15">
      <c r="A239" s="4">
        <f>REDBOOKSearchResults!AY41</f>
        <v>43028</v>
      </c>
      <c r="B239" s="7">
        <f>REDBOOKSearchResults!AZ41</f>
        <v>794.83209999999997</v>
      </c>
      <c r="C239" s="7">
        <f>REDBOOKSearchResults!BA41</f>
        <v>9</v>
      </c>
      <c r="D239" s="4" t="str">
        <f>REDBOOKSearchResults!BB41</f>
        <v>59572-0410-00</v>
      </c>
      <c r="E239" t="str">
        <f>INDEX(REDBOOKSearchResults!$N$2:$N$13, MATCH(D239, REDBOOKSearchResults!$L$2:$L$13, 0))</f>
        <v>10 mg</v>
      </c>
      <c r="F239" t="str">
        <f>INDEX(REDBOOKSearchResults!$A$1:$AK$100, MATCH($D239, REDBOOKSearchResults!$L$1:$L$100, 0), MATCH(F$2, REDBOOKSearchResults!$1:$1, 0))</f>
        <v>100s ea</v>
      </c>
    </row>
    <row r="240" spans="1:6" x14ac:dyDescent="0.15">
      <c r="A240" s="4">
        <f>REDBOOKSearchResults!AY42</f>
        <v>42927</v>
      </c>
      <c r="B240" s="7">
        <f>REDBOOKSearchResults!AZ42</f>
        <v>729.2038</v>
      </c>
      <c r="C240" s="7">
        <f>REDBOOKSearchResults!BA42</f>
        <v>1.8</v>
      </c>
      <c r="D240" s="4" t="str">
        <f>REDBOOKSearchResults!BB42</f>
        <v>59572-0410-00</v>
      </c>
      <c r="E240" t="str">
        <f>INDEX(REDBOOKSearchResults!$N$2:$N$13, MATCH(D240, REDBOOKSearchResults!$L$2:$L$13, 0))</f>
        <v>10 mg</v>
      </c>
      <c r="F240" t="str">
        <f>INDEX(REDBOOKSearchResults!$A$1:$AK$100, MATCH($D240, REDBOOKSearchResults!$L$1:$L$100, 0), MATCH(F$2, REDBOOKSearchResults!$1:$1, 0))</f>
        <v>100s ea</v>
      </c>
    </row>
    <row r="241" spans="1:6" x14ac:dyDescent="0.15">
      <c r="A241" s="4">
        <f>REDBOOKSearchResults!AY43</f>
        <v>42746</v>
      </c>
      <c r="B241" s="7">
        <f>REDBOOKSearchResults!AZ43</f>
        <v>716.66219999999998</v>
      </c>
      <c r="C241" s="7">
        <f>REDBOOKSearchResults!BA43</f>
        <v>8</v>
      </c>
      <c r="D241" s="4" t="str">
        <f>REDBOOKSearchResults!BB43</f>
        <v>59572-0410-00</v>
      </c>
      <c r="E241" t="str">
        <f>INDEX(REDBOOKSearchResults!$N$2:$N$13, MATCH(D241, REDBOOKSearchResults!$L$2:$L$13, 0))</f>
        <v>10 mg</v>
      </c>
      <c r="F241" t="str">
        <f>INDEX(REDBOOKSearchResults!$A$1:$AK$100, MATCH($D241, REDBOOKSearchResults!$L$1:$L$100, 0), MATCH(F$2, REDBOOKSearchResults!$1:$1, 0))</f>
        <v>100s ea</v>
      </c>
    </row>
    <row r="242" spans="1:6" x14ac:dyDescent="0.15">
      <c r="A242" s="4">
        <f>REDBOOKSearchResults!AY44</f>
        <v>42602</v>
      </c>
      <c r="B242" s="7">
        <f>REDBOOKSearchResults!AZ44</f>
        <v>663.57619999999997</v>
      </c>
      <c r="C242" s="7">
        <f>REDBOOKSearchResults!BA44</f>
        <v>3</v>
      </c>
      <c r="D242" s="4" t="str">
        <f>REDBOOKSearchResults!BB44</f>
        <v>59572-0410-00</v>
      </c>
      <c r="E242" t="str">
        <f>INDEX(REDBOOKSearchResults!$N$2:$N$13, MATCH(D242, REDBOOKSearchResults!$L$2:$L$13, 0))</f>
        <v>10 mg</v>
      </c>
      <c r="F242" t="str">
        <f>INDEX(REDBOOKSearchResults!$A$1:$AK$100, MATCH($D242, REDBOOKSearchResults!$L$1:$L$100, 0), MATCH(F$2, REDBOOKSearchResults!$1:$1, 0))</f>
        <v>100s ea</v>
      </c>
    </row>
    <row r="243" spans="1:6" x14ac:dyDescent="0.15">
      <c r="A243" s="4">
        <f>REDBOOKSearchResults!AY45</f>
        <v>42439</v>
      </c>
      <c r="B243" s="7">
        <f>REDBOOKSearchResults!AZ45</f>
        <v>644.24869999999999</v>
      </c>
      <c r="C243" s="7">
        <f>REDBOOKSearchResults!BA45</f>
        <v>6.8</v>
      </c>
      <c r="D243" s="4" t="str">
        <f>REDBOOKSearchResults!BB45</f>
        <v>59572-0410-00</v>
      </c>
      <c r="E243" t="str">
        <f>INDEX(REDBOOKSearchResults!$N$2:$N$13, MATCH(D243, REDBOOKSearchResults!$L$2:$L$13, 0))</f>
        <v>10 mg</v>
      </c>
      <c r="F243" t="str">
        <f>INDEX(REDBOOKSearchResults!$A$1:$AK$100, MATCH($D243, REDBOOKSearchResults!$L$1:$L$100, 0), MATCH(F$2, REDBOOKSearchResults!$1:$1, 0))</f>
        <v>100s ea</v>
      </c>
    </row>
    <row r="244" spans="1:6" x14ac:dyDescent="0.15">
      <c r="A244" s="4">
        <f>REDBOOKSearchResults!AY46</f>
        <v>42279</v>
      </c>
      <c r="B244" s="7">
        <f>REDBOOKSearchResults!AZ46</f>
        <v>603.22910000000002</v>
      </c>
      <c r="C244" s="7">
        <f>REDBOOKSearchResults!BA46</f>
        <v>4</v>
      </c>
      <c r="D244" s="4" t="str">
        <f>REDBOOKSearchResults!BB46</f>
        <v>59572-0410-00</v>
      </c>
      <c r="E244" t="str">
        <f>INDEX(REDBOOKSearchResults!$N$2:$N$13, MATCH(D244, REDBOOKSearchResults!$L$2:$L$13, 0))</f>
        <v>10 mg</v>
      </c>
      <c r="F244" t="str">
        <f>INDEX(REDBOOKSearchResults!$A$1:$AK$100, MATCH($D244, REDBOOKSearchResults!$L$1:$L$100, 0), MATCH(F$2, REDBOOKSearchResults!$1:$1, 0))</f>
        <v>100s ea</v>
      </c>
    </row>
    <row r="245" spans="1:6" x14ac:dyDescent="0.15">
      <c r="A245" s="4">
        <f>REDBOOKSearchResults!AY47</f>
        <v>42180</v>
      </c>
      <c r="B245" s="7">
        <f>REDBOOKSearchResults!AZ47</f>
        <v>580.02790000000005</v>
      </c>
      <c r="C245" s="7">
        <f>REDBOOKSearchResults!BA47</f>
        <v>3</v>
      </c>
      <c r="D245" s="4" t="str">
        <f>REDBOOKSearchResults!BB47</f>
        <v>59572-0410-00</v>
      </c>
      <c r="E245" t="str">
        <f>INDEX(REDBOOKSearchResults!$N$2:$N$13, MATCH(D245, REDBOOKSearchResults!$L$2:$L$13, 0))</f>
        <v>10 mg</v>
      </c>
      <c r="F245" t="str">
        <f>INDEX(REDBOOKSearchResults!$A$1:$AK$100, MATCH($D245, REDBOOKSearchResults!$L$1:$L$100, 0), MATCH(F$2, REDBOOKSearchResults!$1:$1, 0))</f>
        <v>100s ea</v>
      </c>
    </row>
    <row r="246" spans="1:6" x14ac:dyDescent="0.15">
      <c r="A246" s="4">
        <f>REDBOOKSearchResults!AY48</f>
        <v>41996</v>
      </c>
      <c r="B246" s="7">
        <f>REDBOOKSearchResults!AZ48</f>
        <v>563.13390000000004</v>
      </c>
      <c r="C246" s="7">
        <f>REDBOOKSearchResults!BA48</f>
        <v>3</v>
      </c>
      <c r="D246" s="4" t="str">
        <f>REDBOOKSearchResults!BB48</f>
        <v>59572-0410-00</v>
      </c>
      <c r="E246" t="str">
        <f>INDEX(REDBOOKSearchResults!$N$2:$N$13, MATCH(D246, REDBOOKSearchResults!$L$2:$L$13, 0))</f>
        <v>10 mg</v>
      </c>
      <c r="F246" t="str">
        <f>INDEX(REDBOOKSearchResults!$A$1:$AK$100, MATCH($D246, REDBOOKSearchResults!$L$1:$L$100, 0), MATCH(F$2, REDBOOKSearchResults!$1:$1, 0))</f>
        <v>100s ea</v>
      </c>
    </row>
    <row r="247" spans="1:6" x14ac:dyDescent="0.15">
      <c r="A247" s="4">
        <f>REDBOOKSearchResults!AY49</f>
        <v>41885</v>
      </c>
      <c r="B247" s="7">
        <f>REDBOOKSearchResults!AZ49</f>
        <v>546.73199999999997</v>
      </c>
      <c r="C247" s="7">
        <f>REDBOOKSearchResults!BA49</f>
        <v>4.4000000000000004</v>
      </c>
      <c r="D247" s="4" t="str">
        <f>REDBOOKSearchResults!BB49</f>
        <v>59572-0410-00</v>
      </c>
      <c r="E247" t="str">
        <f>INDEX(REDBOOKSearchResults!$N$2:$N$13, MATCH(D247, REDBOOKSearchResults!$L$2:$L$13, 0))</f>
        <v>10 mg</v>
      </c>
      <c r="F247" t="str">
        <f>INDEX(REDBOOKSearchResults!$A$1:$AK$100, MATCH($D247, REDBOOKSearchResults!$L$1:$L$100, 0), MATCH(F$2, REDBOOKSearchResults!$1:$1, 0))</f>
        <v>100s ea</v>
      </c>
    </row>
    <row r="248" spans="1:6" x14ac:dyDescent="0.15">
      <c r="A248" s="4">
        <f>REDBOOKSearchResults!AY50</f>
        <v>41704</v>
      </c>
      <c r="B248" s="7">
        <f>REDBOOKSearchResults!AZ50</f>
        <v>523.51120000000003</v>
      </c>
      <c r="C248" s="7">
        <f>REDBOOKSearchResults!BA50</f>
        <v>4</v>
      </c>
      <c r="D248" s="4" t="str">
        <f>REDBOOKSearchResults!BB50</f>
        <v>59572-0410-00</v>
      </c>
      <c r="E248" t="str">
        <f>INDEX(REDBOOKSearchResults!$N$2:$N$13, MATCH(D248, REDBOOKSearchResults!$L$2:$L$13, 0))</f>
        <v>10 mg</v>
      </c>
      <c r="F248" t="str">
        <f>INDEX(REDBOOKSearchResults!$A$1:$AK$100, MATCH($D248, REDBOOKSearchResults!$L$1:$L$100, 0), MATCH(F$2, REDBOOKSearchResults!$1:$1, 0))</f>
        <v>100s ea</v>
      </c>
    </row>
    <row r="249" spans="1:6" x14ac:dyDescent="0.15">
      <c r="A249" s="4">
        <f>REDBOOKSearchResults!AY51</f>
        <v>41548</v>
      </c>
      <c r="B249" s="7">
        <f>REDBOOKSearchResults!AZ51</f>
        <v>503.37610000000001</v>
      </c>
      <c r="C249" s="7">
        <f>REDBOOKSearchResults!BA51</f>
        <v>3</v>
      </c>
      <c r="D249" s="4" t="str">
        <f>REDBOOKSearchResults!BB51</f>
        <v>59572-0410-00</v>
      </c>
      <c r="E249" t="str">
        <f>INDEX(REDBOOKSearchResults!$N$2:$N$13, MATCH(D249, REDBOOKSearchResults!$L$2:$L$13, 0))</f>
        <v>10 mg</v>
      </c>
      <c r="F249" t="str">
        <f>INDEX(REDBOOKSearchResults!$A$1:$AK$100, MATCH($D249, REDBOOKSearchResults!$L$1:$L$100, 0), MATCH(F$2, REDBOOKSearchResults!$1:$1, 0))</f>
        <v>100s ea</v>
      </c>
    </row>
    <row r="250" spans="1:6" x14ac:dyDescent="0.15">
      <c r="A250" s="4">
        <f>REDBOOKSearchResults!AY52</f>
        <v>41363</v>
      </c>
      <c r="B250" s="7">
        <f>REDBOOKSearchResults!AZ52</f>
        <v>488.71460000000002</v>
      </c>
      <c r="C250" s="7">
        <f>REDBOOKSearchResults!BA52</f>
        <v>3</v>
      </c>
      <c r="D250" s="4" t="str">
        <f>REDBOOKSearchResults!BB52</f>
        <v>59572-0410-00</v>
      </c>
      <c r="E250" t="str">
        <f>INDEX(REDBOOKSearchResults!$N$2:$N$13, MATCH(D250, REDBOOKSearchResults!$L$2:$L$13, 0))</f>
        <v>10 mg</v>
      </c>
      <c r="F250" t="str">
        <f>INDEX(REDBOOKSearchResults!$A$1:$AK$100, MATCH($D250, REDBOOKSearchResults!$L$1:$L$100, 0), MATCH(F$2, REDBOOKSearchResults!$1:$1, 0))</f>
        <v>100s ea</v>
      </c>
    </row>
    <row r="251" spans="1:6" x14ac:dyDescent="0.15">
      <c r="A251" s="4">
        <f>REDBOOKSearchResults!AY53</f>
        <v>41214</v>
      </c>
      <c r="B251" s="7">
        <f>REDBOOKSearchResults!AZ53</f>
        <v>474.48020000000002</v>
      </c>
      <c r="C251" s="7">
        <f>REDBOOKSearchResults!BA53</f>
        <v>6</v>
      </c>
      <c r="D251" s="4" t="str">
        <f>REDBOOKSearchResults!BB53</f>
        <v>59572-0410-00</v>
      </c>
      <c r="E251" t="str">
        <f>INDEX(REDBOOKSearchResults!$N$2:$N$13, MATCH(D251, REDBOOKSearchResults!$L$2:$L$13, 0))</f>
        <v>10 mg</v>
      </c>
      <c r="F251" t="str">
        <f>INDEX(REDBOOKSearchResults!$A$1:$AK$100, MATCH($D251, REDBOOKSearchResults!$L$1:$L$100, 0), MATCH(F$2, REDBOOKSearchResults!$1:$1, 0))</f>
        <v>100s ea</v>
      </c>
    </row>
    <row r="252" spans="1:6" x14ac:dyDescent="0.15">
      <c r="A252" s="4">
        <f>REDBOOKSearchResults!AY54</f>
        <v>40876</v>
      </c>
      <c r="B252" s="7">
        <f>REDBOOKSearchResults!AZ54</f>
        <v>447.62290000000002</v>
      </c>
      <c r="C252" s="7">
        <f>REDBOOKSearchResults!BA54</f>
        <v>6</v>
      </c>
      <c r="D252" s="4" t="str">
        <f>REDBOOKSearchResults!BB54</f>
        <v>59572-0410-00</v>
      </c>
      <c r="E252" t="str">
        <f>INDEX(REDBOOKSearchResults!$N$2:$N$13, MATCH(D252, REDBOOKSearchResults!$L$2:$L$13, 0))</f>
        <v>10 mg</v>
      </c>
      <c r="F252" t="str">
        <f>INDEX(REDBOOKSearchResults!$A$1:$AK$100, MATCH($D252, REDBOOKSearchResults!$L$1:$L$100, 0), MATCH(F$2, REDBOOKSearchResults!$1:$1, 0))</f>
        <v>100s ea</v>
      </c>
    </row>
    <row r="253" spans="1:6" x14ac:dyDescent="0.15">
      <c r="A253" s="4">
        <f>REDBOOKSearchResults!AY55</f>
        <v>40523</v>
      </c>
      <c r="B253" s="7">
        <f>REDBOOKSearchResults!AZ55</f>
        <v>422.28579999999999</v>
      </c>
      <c r="C253" s="7">
        <f>REDBOOKSearchResults!BA55</f>
        <v>4</v>
      </c>
      <c r="D253" s="4" t="str">
        <f>REDBOOKSearchResults!BB55</f>
        <v>59572-0410-00</v>
      </c>
      <c r="E253" t="str">
        <f>INDEX(REDBOOKSearchResults!$N$2:$N$13, MATCH(D253, REDBOOKSearchResults!$L$2:$L$13, 0))</f>
        <v>10 mg</v>
      </c>
      <c r="F253" t="str">
        <f>INDEX(REDBOOKSearchResults!$A$1:$AK$100, MATCH($D253, REDBOOKSearchResults!$L$1:$L$100, 0), MATCH(F$2, REDBOOKSearchResults!$1:$1, 0))</f>
        <v>100s ea</v>
      </c>
    </row>
    <row r="254" spans="1:6" x14ac:dyDescent="0.15">
      <c r="A254" s="4">
        <f>REDBOOKSearchResults!AY56</f>
        <v>40183</v>
      </c>
      <c r="B254" s="7">
        <f>REDBOOKSearchResults!AZ56</f>
        <v>406.04680000000002</v>
      </c>
      <c r="C254" s="7">
        <f>REDBOOKSearchResults!BA56</f>
        <v>8.9</v>
      </c>
      <c r="D254" s="4" t="str">
        <f>REDBOOKSearchResults!BB56</f>
        <v>59572-0410-00</v>
      </c>
      <c r="E254" t="str">
        <f>INDEX(REDBOOKSearchResults!$N$2:$N$13, MATCH(D254, REDBOOKSearchResults!$L$2:$L$13, 0))</f>
        <v>10 mg</v>
      </c>
      <c r="F254" t="str">
        <f>INDEX(REDBOOKSearchResults!$A$1:$AK$100, MATCH($D254, REDBOOKSearchResults!$L$1:$L$100, 0), MATCH(F$2, REDBOOKSearchResults!$1:$1, 0))</f>
        <v>100s ea</v>
      </c>
    </row>
    <row r="255" spans="1:6" x14ac:dyDescent="0.15">
      <c r="A255" s="4">
        <f>REDBOOKSearchResults!AY57</f>
        <v>39939</v>
      </c>
      <c r="B255" s="7">
        <f>REDBOOKSearchResults!AZ57</f>
        <v>372.8621</v>
      </c>
      <c r="C255" s="7">
        <f>REDBOOKSearchResults!BA57</f>
        <v>9.9</v>
      </c>
      <c r="D255" s="4" t="str">
        <f>REDBOOKSearchResults!BB57</f>
        <v>59572-0410-00</v>
      </c>
      <c r="E255" t="str">
        <f>INDEX(REDBOOKSearchResults!$N$2:$N$13, MATCH(D255, REDBOOKSearchResults!$L$2:$L$13, 0))</f>
        <v>10 mg</v>
      </c>
      <c r="F255" t="str">
        <f>INDEX(REDBOOKSearchResults!$A$1:$AK$100, MATCH($D255, REDBOOKSearchResults!$L$1:$L$100, 0), MATCH(F$2, REDBOOKSearchResults!$1:$1, 0))</f>
        <v>100s ea</v>
      </c>
    </row>
    <row r="256" spans="1:6" x14ac:dyDescent="0.15">
      <c r="A256" s="4">
        <f>REDBOOKSearchResults!AY58</f>
        <v>39787</v>
      </c>
      <c r="B256" s="7">
        <f>REDBOOKSearchResults!AZ58</f>
        <v>339.15050000000002</v>
      </c>
      <c r="C256" s="7">
        <f>REDBOOKSearchResults!BA58</f>
        <v>4</v>
      </c>
      <c r="D256" s="4" t="str">
        <f>REDBOOKSearchResults!BB58</f>
        <v>59572-0410-00</v>
      </c>
      <c r="E256" t="str">
        <f>INDEX(REDBOOKSearchResults!$N$2:$N$13, MATCH(D256, REDBOOKSearchResults!$L$2:$L$13, 0))</f>
        <v>10 mg</v>
      </c>
      <c r="F256" t="str">
        <f>INDEX(REDBOOKSearchResults!$A$1:$AK$100, MATCH($D256, REDBOOKSearchResults!$L$1:$L$100, 0), MATCH(F$2, REDBOOKSearchResults!$1:$1, 0))</f>
        <v>100s ea</v>
      </c>
    </row>
    <row r="257" spans="1:6" x14ac:dyDescent="0.15">
      <c r="A257" s="4">
        <f>REDBOOKSearchResults!AY59</f>
        <v>39451</v>
      </c>
      <c r="B257" s="7">
        <f>REDBOOKSearchResults!AZ59</f>
        <v>326.1062</v>
      </c>
      <c r="C257" s="7">
        <f>REDBOOKSearchResults!BA59</f>
        <v>9.9</v>
      </c>
      <c r="D257" s="4" t="str">
        <f>REDBOOKSearchResults!BB59</f>
        <v>59572-0410-00</v>
      </c>
      <c r="E257" t="str">
        <f>INDEX(REDBOOKSearchResults!$N$2:$N$13, MATCH(D257, REDBOOKSearchResults!$L$2:$L$13, 0))</f>
        <v>10 mg</v>
      </c>
      <c r="F257" t="str">
        <f>INDEX(REDBOOKSearchResults!$A$1:$AK$100, MATCH($D257, REDBOOKSearchResults!$L$1:$L$100, 0), MATCH(F$2, REDBOOKSearchResults!$1:$1, 0))</f>
        <v>100s ea</v>
      </c>
    </row>
    <row r="258" spans="1:6" x14ac:dyDescent="0.15">
      <c r="A258" s="4">
        <f>REDBOOKSearchResults!AY60</f>
        <v>39085</v>
      </c>
      <c r="B258" s="7">
        <f>REDBOOKSearchResults!AZ60</f>
        <v>296.73</v>
      </c>
      <c r="C258" s="7">
        <f>REDBOOKSearchResults!BA60</f>
        <v>9.9</v>
      </c>
      <c r="D258" s="4" t="str">
        <f>REDBOOKSearchResults!BB60</f>
        <v>59572-0410-00</v>
      </c>
      <c r="E258" t="str">
        <f>INDEX(REDBOOKSearchResults!$N$2:$N$13, MATCH(D258, REDBOOKSearchResults!$L$2:$L$13, 0))</f>
        <v>10 mg</v>
      </c>
      <c r="F258" t="str">
        <f>INDEX(REDBOOKSearchResults!$A$1:$AK$100, MATCH($D258, REDBOOKSearchResults!$L$1:$L$100, 0), MATCH(F$2, REDBOOKSearchResults!$1:$1, 0))</f>
        <v>100s ea</v>
      </c>
    </row>
    <row r="259" spans="1:6" x14ac:dyDescent="0.15">
      <c r="A259" s="4">
        <f>REDBOOKSearchResults!AY61</f>
        <v>38715</v>
      </c>
      <c r="B259" s="7">
        <f>REDBOOKSearchResults!AZ61</f>
        <v>270</v>
      </c>
      <c r="C259" s="7">
        <f>REDBOOKSearchResults!BA61</f>
        <v>0</v>
      </c>
      <c r="D259" s="4" t="str">
        <f>REDBOOKSearchResults!BB61</f>
        <v>59572-0410-00</v>
      </c>
      <c r="E259" t="str">
        <f>INDEX(REDBOOKSearchResults!$N$2:$N$13, MATCH(D259, REDBOOKSearchResults!$L$2:$L$13, 0))</f>
        <v>10 mg</v>
      </c>
      <c r="F259" t="str">
        <f>INDEX(REDBOOKSearchResults!$A$1:$AK$100, MATCH($D259, REDBOOKSearchResults!$L$1:$L$100, 0), MATCH(F$2, REDBOOKSearchResults!$1:$1, 0))</f>
        <v>100s ea</v>
      </c>
    </row>
    <row r="260" spans="1:6" x14ac:dyDescent="0.15">
      <c r="A260" s="4">
        <f>REDBOOKSearchResults!BD35</f>
        <v>45474</v>
      </c>
      <c r="B260" s="7">
        <f>REDBOOKSearchResults!BE35</f>
        <v>1069.8599999999999</v>
      </c>
      <c r="C260" s="7">
        <f>REDBOOKSearchResults!BF35</f>
        <v>7</v>
      </c>
      <c r="D260" s="4" t="str">
        <f>REDBOOKSearchResults!BG35</f>
        <v>59572-0410-28</v>
      </c>
      <c r="E260" t="str">
        <f>INDEX(REDBOOKSearchResults!$N$2:$N$13, MATCH(D260, REDBOOKSearchResults!$L$2:$L$13, 0))</f>
        <v>10 mg</v>
      </c>
      <c r="F260" t="str">
        <f>INDEX(REDBOOKSearchResults!$A$1:$AK$100, MATCH($D260, REDBOOKSearchResults!$L$1:$L$100, 0), MATCH(F$2, REDBOOKSearchResults!$1:$1, 0))</f>
        <v>28s ea</v>
      </c>
    </row>
    <row r="261" spans="1:6" x14ac:dyDescent="0.15">
      <c r="A261" s="4">
        <f>REDBOOKSearchResults!BD36</f>
        <v>44562</v>
      </c>
      <c r="B261" s="7">
        <f>REDBOOKSearchResults!BE36</f>
        <v>999.86928999999998</v>
      </c>
      <c r="C261" s="7">
        <f>REDBOOKSearchResults!BF36</f>
        <v>4.5</v>
      </c>
      <c r="D261" s="4" t="str">
        <f>REDBOOKSearchResults!BG36</f>
        <v>59572-0410-28</v>
      </c>
      <c r="E261" t="str">
        <f>INDEX(REDBOOKSearchResults!$N$2:$N$13, MATCH(D261, REDBOOKSearchResults!$L$2:$L$13, 0))</f>
        <v>10 mg</v>
      </c>
      <c r="F261" t="str">
        <f>INDEX(REDBOOKSearchResults!$A$1:$AK$100, MATCH($D261, REDBOOKSearchResults!$L$1:$L$100, 0), MATCH(F$2, REDBOOKSearchResults!$1:$1, 0))</f>
        <v>28s ea</v>
      </c>
    </row>
    <row r="262" spans="1:6" x14ac:dyDescent="0.15">
      <c r="A262" s="4">
        <f>REDBOOKSearchResults!BD37</f>
        <v>44197</v>
      </c>
      <c r="B262" s="7">
        <f>REDBOOKSearchResults!BE37</f>
        <v>956.81286</v>
      </c>
      <c r="C262" s="7">
        <f>REDBOOKSearchResults!BF37</f>
        <v>4.5</v>
      </c>
      <c r="D262" s="4" t="str">
        <f>REDBOOKSearchResults!BG37</f>
        <v>59572-0410-28</v>
      </c>
      <c r="E262" t="str">
        <f>INDEX(REDBOOKSearchResults!$N$2:$N$13, MATCH(D262, REDBOOKSearchResults!$L$2:$L$13, 0))</f>
        <v>10 mg</v>
      </c>
      <c r="F262" t="str">
        <f>INDEX(REDBOOKSearchResults!$A$1:$AK$100, MATCH($D262, REDBOOKSearchResults!$L$1:$L$100, 0), MATCH(F$2, REDBOOKSearchResults!$1:$1, 0))</f>
        <v>28s ea</v>
      </c>
    </row>
    <row r="263" spans="1:6" x14ac:dyDescent="0.15">
      <c r="A263" s="4">
        <f>REDBOOKSearchResults!BD38</f>
        <v>43831</v>
      </c>
      <c r="B263" s="7">
        <f>REDBOOKSearchResults!BE38</f>
        <v>915.61036000000001</v>
      </c>
      <c r="C263" s="7">
        <f>REDBOOKSearchResults!BF38</f>
        <v>6</v>
      </c>
      <c r="D263" s="4" t="str">
        <f>REDBOOKSearchResults!BG38</f>
        <v>59572-0410-28</v>
      </c>
      <c r="E263" t="str">
        <f>INDEX(REDBOOKSearchResults!$N$2:$N$13, MATCH(D263, REDBOOKSearchResults!$L$2:$L$13, 0))</f>
        <v>10 mg</v>
      </c>
      <c r="F263" t="str">
        <f>INDEX(REDBOOKSearchResults!$A$1:$AK$100, MATCH($D263, REDBOOKSearchResults!$L$1:$L$100, 0), MATCH(F$2, REDBOOKSearchResults!$1:$1, 0))</f>
        <v>28s ea</v>
      </c>
    </row>
    <row r="264" spans="1:6" x14ac:dyDescent="0.15">
      <c r="A264" s="4">
        <f>REDBOOKSearchResults!BD39</f>
        <v>43468</v>
      </c>
      <c r="B264" s="7">
        <f>REDBOOKSearchResults!BE39</f>
        <v>863.78321000000005</v>
      </c>
      <c r="C264" s="7">
        <f>REDBOOKSearchResults!BF39</f>
        <v>3.5</v>
      </c>
      <c r="D264" s="4" t="str">
        <f>REDBOOKSearchResults!BG39</f>
        <v>59572-0410-28</v>
      </c>
      <c r="E264" t="str">
        <f>INDEX(REDBOOKSearchResults!$N$2:$N$13, MATCH(D264, REDBOOKSearchResults!$L$2:$L$13, 0))</f>
        <v>10 mg</v>
      </c>
      <c r="F264" t="str">
        <f>INDEX(REDBOOKSearchResults!$A$1:$AK$100, MATCH($D264, REDBOOKSearchResults!$L$1:$L$100, 0), MATCH(F$2, REDBOOKSearchResults!$1:$1, 0))</f>
        <v>28s ea</v>
      </c>
    </row>
    <row r="265" spans="1:6" x14ac:dyDescent="0.15">
      <c r="A265" s="4">
        <f>REDBOOKSearchResults!BD40</f>
        <v>43291</v>
      </c>
      <c r="B265" s="7">
        <f>REDBOOKSearchResults!BE40</f>
        <v>834.57285999999999</v>
      </c>
      <c r="C265" s="7">
        <f>REDBOOKSearchResults!BF40</f>
        <v>5</v>
      </c>
      <c r="D265" s="4" t="str">
        <f>REDBOOKSearchResults!BG40</f>
        <v>59572-0410-28</v>
      </c>
      <c r="E265" t="str">
        <f>INDEX(REDBOOKSearchResults!$N$2:$N$13, MATCH(D265, REDBOOKSearchResults!$L$2:$L$13, 0))</f>
        <v>10 mg</v>
      </c>
      <c r="F265" t="str">
        <f>INDEX(REDBOOKSearchResults!$A$1:$AK$100, MATCH($D265, REDBOOKSearchResults!$L$1:$L$100, 0), MATCH(F$2, REDBOOKSearchResults!$1:$1, 0))</f>
        <v>28s ea</v>
      </c>
    </row>
    <row r="266" spans="1:6" x14ac:dyDescent="0.15">
      <c r="A266" s="4">
        <f>REDBOOKSearchResults!BD41</f>
        <v>43028</v>
      </c>
      <c r="B266" s="7">
        <f>REDBOOKSearchResults!BE41</f>
        <v>794.83178999999996</v>
      </c>
      <c r="C266" s="7">
        <f>REDBOOKSearchResults!BF41</f>
        <v>9</v>
      </c>
      <c r="D266" s="4" t="str">
        <f>REDBOOKSearchResults!BG41</f>
        <v>59572-0410-28</v>
      </c>
      <c r="E266" t="str">
        <f>INDEX(REDBOOKSearchResults!$N$2:$N$13, MATCH(D266, REDBOOKSearchResults!$L$2:$L$13, 0))</f>
        <v>10 mg</v>
      </c>
      <c r="F266" t="str">
        <f>INDEX(REDBOOKSearchResults!$A$1:$AK$100, MATCH($D266, REDBOOKSearchResults!$L$1:$L$100, 0), MATCH(F$2, REDBOOKSearchResults!$1:$1, 0))</f>
        <v>28s ea</v>
      </c>
    </row>
    <row r="267" spans="1:6" x14ac:dyDescent="0.15">
      <c r="A267" s="4">
        <f>REDBOOKSearchResults!BD42</f>
        <v>42927</v>
      </c>
      <c r="B267" s="7">
        <f>REDBOOKSearchResults!BE42</f>
        <v>729.20321000000001</v>
      </c>
      <c r="C267" s="7">
        <f>REDBOOKSearchResults!BF42</f>
        <v>1.8</v>
      </c>
      <c r="D267" s="4" t="str">
        <f>REDBOOKSearchResults!BG42</f>
        <v>59572-0410-28</v>
      </c>
      <c r="E267" t="str">
        <f>INDEX(REDBOOKSearchResults!$N$2:$N$13, MATCH(D267, REDBOOKSearchResults!$L$2:$L$13, 0))</f>
        <v>10 mg</v>
      </c>
      <c r="F267" t="str">
        <f>INDEX(REDBOOKSearchResults!$A$1:$AK$100, MATCH($D267, REDBOOKSearchResults!$L$1:$L$100, 0), MATCH(F$2, REDBOOKSearchResults!$1:$1, 0))</f>
        <v>28s ea</v>
      </c>
    </row>
    <row r="268" spans="1:6" x14ac:dyDescent="0.15">
      <c r="A268" s="4">
        <f>REDBOOKSearchResults!BD43</f>
        <v>42746</v>
      </c>
      <c r="B268" s="7">
        <f>REDBOOKSearchResults!BE43</f>
        <v>716.66143</v>
      </c>
      <c r="C268" s="7">
        <f>REDBOOKSearchResults!BF43</f>
        <v>8</v>
      </c>
      <c r="D268" s="4" t="str">
        <f>REDBOOKSearchResults!BG43</f>
        <v>59572-0410-28</v>
      </c>
      <c r="E268" t="str">
        <f>INDEX(REDBOOKSearchResults!$N$2:$N$13, MATCH(D268, REDBOOKSearchResults!$L$2:$L$13, 0))</f>
        <v>10 mg</v>
      </c>
      <c r="F268" t="str">
        <f>INDEX(REDBOOKSearchResults!$A$1:$AK$100, MATCH($D268, REDBOOKSearchResults!$L$1:$L$100, 0), MATCH(F$2, REDBOOKSearchResults!$1:$1, 0))</f>
        <v>28s ea</v>
      </c>
    </row>
    <row r="269" spans="1:6" x14ac:dyDescent="0.15">
      <c r="A269" s="4">
        <f>REDBOOKSearchResults!BD44</f>
        <v>42602</v>
      </c>
      <c r="B269" s="7">
        <f>REDBOOKSearchResults!BE44</f>
        <v>663.57570999999996</v>
      </c>
      <c r="C269" s="7">
        <f>REDBOOKSearchResults!BF44</f>
        <v>3</v>
      </c>
      <c r="D269" s="4" t="str">
        <f>REDBOOKSearchResults!BG44</f>
        <v>59572-0410-28</v>
      </c>
      <c r="E269" t="str">
        <f>INDEX(REDBOOKSearchResults!$N$2:$N$13, MATCH(D269, REDBOOKSearchResults!$L$2:$L$13, 0))</f>
        <v>10 mg</v>
      </c>
      <c r="F269" t="str">
        <f>INDEX(REDBOOKSearchResults!$A$1:$AK$100, MATCH($D269, REDBOOKSearchResults!$L$1:$L$100, 0), MATCH(F$2, REDBOOKSearchResults!$1:$1, 0))</f>
        <v>28s ea</v>
      </c>
    </row>
    <row r="270" spans="1:6" x14ac:dyDescent="0.15">
      <c r="A270" s="4">
        <f>REDBOOKSearchResults!BD45</f>
        <v>42439</v>
      </c>
      <c r="B270" s="7">
        <f>REDBOOKSearchResults!BE45</f>
        <v>644.24820999999997</v>
      </c>
      <c r="C270" s="7">
        <f>REDBOOKSearchResults!BF45</f>
        <v>6.8</v>
      </c>
      <c r="D270" s="4" t="str">
        <f>REDBOOKSearchResults!BG45</f>
        <v>59572-0410-28</v>
      </c>
      <c r="E270" t="str">
        <f>INDEX(REDBOOKSearchResults!$N$2:$N$13, MATCH(D270, REDBOOKSearchResults!$L$2:$L$13, 0))</f>
        <v>10 mg</v>
      </c>
      <c r="F270" t="str">
        <f>INDEX(REDBOOKSearchResults!$A$1:$AK$100, MATCH($D270, REDBOOKSearchResults!$L$1:$L$100, 0), MATCH(F$2, REDBOOKSearchResults!$1:$1, 0))</f>
        <v>28s ea</v>
      </c>
    </row>
    <row r="271" spans="1:6" x14ac:dyDescent="0.15">
      <c r="A271" s="4">
        <f>REDBOOKSearchResults!BD46</f>
        <v>42279</v>
      </c>
      <c r="B271" s="7">
        <f>REDBOOKSearchResults!BE46</f>
        <v>603.22892999999999</v>
      </c>
      <c r="C271" s="7">
        <f>REDBOOKSearchResults!BF46</f>
        <v>4</v>
      </c>
      <c r="D271" s="4" t="str">
        <f>REDBOOKSearchResults!BG46</f>
        <v>59572-0410-28</v>
      </c>
      <c r="E271" t="str">
        <f>INDEX(REDBOOKSearchResults!$N$2:$N$13, MATCH(D271, REDBOOKSearchResults!$L$2:$L$13, 0))</f>
        <v>10 mg</v>
      </c>
      <c r="F271" t="str">
        <f>INDEX(REDBOOKSearchResults!$A$1:$AK$100, MATCH($D271, REDBOOKSearchResults!$L$1:$L$100, 0), MATCH(F$2, REDBOOKSearchResults!$1:$1, 0))</f>
        <v>28s ea</v>
      </c>
    </row>
    <row r="272" spans="1:6" x14ac:dyDescent="0.15">
      <c r="A272" s="4">
        <f>REDBOOKSearchResults!BD47</f>
        <v>42180</v>
      </c>
      <c r="B272" s="7">
        <f>REDBOOKSearchResults!BE47</f>
        <v>580.02786000000003</v>
      </c>
      <c r="C272" s="7">
        <f>REDBOOKSearchResults!BF47</f>
        <v>3</v>
      </c>
      <c r="D272" s="4" t="str">
        <f>REDBOOKSearchResults!BG47</f>
        <v>59572-0410-28</v>
      </c>
      <c r="E272" t="str">
        <f>INDEX(REDBOOKSearchResults!$N$2:$N$13, MATCH(D272, REDBOOKSearchResults!$L$2:$L$13, 0))</f>
        <v>10 mg</v>
      </c>
      <c r="F272" t="str">
        <f>INDEX(REDBOOKSearchResults!$A$1:$AK$100, MATCH($D272, REDBOOKSearchResults!$L$1:$L$100, 0), MATCH(F$2, REDBOOKSearchResults!$1:$1, 0))</f>
        <v>28s ea</v>
      </c>
    </row>
    <row r="273" spans="1:6" x14ac:dyDescent="0.15">
      <c r="A273" s="4">
        <f>REDBOOKSearchResults!BD48</f>
        <v>41996</v>
      </c>
      <c r="B273" s="7">
        <f>REDBOOKSearchResults!BE48</f>
        <v>563.13392999999996</v>
      </c>
      <c r="C273" s="7">
        <f>REDBOOKSearchResults!BF48</f>
        <v>3</v>
      </c>
      <c r="D273" s="4" t="str">
        <f>REDBOOKSearchResults!BG48</f>
        <v>59572-0410-28</v>
      </c>
      <c r="E273" t="str">
        <f>INDEX(REDBOOKSearchResults!$N$2:$N$13, MATCH(D273, REDBOOKSearchResults!$L$2:$L$13, 0))</f>
        <v>10 mg</v>
      </c>
      <c r="F273" t="str">
        <f>INDEX(REDBOOKSearchResults!$A$1:$AK$100, MATCH($D273, REDBOOKSearchResults!$L$1:$L$100, 0), MATCH(F$2, REDBOOKSearchResults!$1:$1, 0))</f>
        <v>28s ea</v>
      </c>
    </row>
    <row r="274" spans="1:6" x14ac:dyDescent="0.15">
      <c r="A274" s="4">
        <f>REDBOOKSearchResults!BD49</f>
        <v>41885</v>
      </c>
      <c r="B274" s="7">
        <f>REDBOOKSearchResults!BE49</f>
        <v>546.73213999999996</v>
      </c>
      <c r="C274" s="7">
        <f>REDBOOKSearchResults!BF49</f>
        <v>4.4000000000000004</v>
      </c>
      <c r="D274" s="4" t="str">
        <f>REDBOOKSearchResults!BG49</f>
        <v>59572-0410-28</v>
      </c>
      <c r="E274" t="str">
        <f>INDEX(REDBOOKSearchResults!$N$2:$N$13, MATCH(D274, REDBOOKSearchResults!$L$2:$L$13, 0))</f>
        <v>10 mg</v>
      </c>
      <c r="F274" t="str">
        <f>INDEX(REDBOOKSearchResults!$A$1:$AK$100, MATCH($D274, REDBOOKSearchResults!$L$1:$L$100, 0), MATCH(F$2, REDBOOKSearchResults!$1:$1, 0))</f>
        <v>28s ea</v>
      </c>
    </row>
    <row r="275" spans="1:6" x14ac:dyDescent="0.15">
      <c r="A275" s="4">
        <f>REDBOOKSearchResults!BD50</f>
        <v>41704</v>
      </c>
      <c r="B275" s="7">
        <f>REDBOOKSearchResults!BE50</f>
        <v>523.51107000000002</v>
      </c>
      <c r="C275" s="7">
        <f>REDBOOKSearchResults!BF50</f>
        <v>4</v>
      </c>
      <c r="D275" s="4" t="str">
        <f>REDBOOKSearchResults!BG50</f>
        <v>59572-0410-28</v>
      </c>
      <c r="E275" t="str">
        <f>INDEX(REDBOOKSearchResults!$N$2:$N$13, MATCH(D275, REDBOOKSearchResults!$L$2:$L$13, 0))</f>
        <v>10 mg</v>
      </c>
      <c r="F275" t="str">
        <f>INDEX(REDBOOKSearchResults!$A$1:$AK$100, MATCH($D275, REDBOOKSearchResults!$L$1:$L$100, 0), MATCH(F$2, REDBOOKSearchResults!$1:$1, 0))</f>
        <v>28s ea</v>
      </c>
    </row>
    <row r="276" spans="1:6" x14ac:dyDescent="0.15">
      <c r="A276" s="4">
        <f>REDBOOKSearchResults!BD51</f>
        <v>41548</v>
      </c>
      <c r="B276" s="7">
        <f>REDBOOKSearchResults!BE51</f>
        <v>503.37607000000003</v>
      </c>
      <c r="C276" s="7">
        <f>REDBOOKSearchResults!BF51</f>
        <v>3</v>
      </c>
      <c r="D276" s="4" t="str">
        <f>REDBOOKSearchResults!BG51</f>
        <v>59572-0410-28</v>
      </c>
      <c r="E276" t="str">
        <f>INDEX(REDBOOKSearchResults!$N$2:$N$13, MATCH(D276, REDBOOKSearchResults!$L$2:$L$13, 0))</f>
        <v>10 mg</v>
      </c>
      <c r="F276" t="str">
        <f>INDEX(REDBOOKSearchResults!$A$1:$AK$100, MATCH($D276, REDBOOKSearchResults!$L$1:$L$100, 0), MATCH(F$2, REDBOOKSearchResults!$1:$1, 0))</f>
        <v>28s ea</v>
      </c>
    </row>
    <row r="277" spans="1:6" x14ac:dyDescent="0.15">
      <c r="A277" s="4">
        <f>REDBOOKSearchResults!BD52</f>
        <v>41363</v>
      </c>
      <c r="B277" s="7">
        <f>REDBOOKSearchResults!BE52</f>
        <v>488.71463999999997</v>
      </c>
      <c r="C277" s="7">
        <f>REDBOOKSearchResults!BF52</f>
        <v>3</v>
      </c>
      <c r="D277" s="4" t="str">
        <f>REDBOOKSearchResults!BG52</f>
        <v>59572-0410-28</v>
      </c>
      <c r="E277" t="str">
        <f>INDEX(REDBOOKSearchResults!$N$2:$N$13, MATCH(D277, REDBOOKSearchResults!$L$2:$L$13, 0))</f>
        <v>10 mg</v>
      </c>
      <c r="F277" t="str">
        <f>INDEX(REDBOOKSearchResults!$A$1:$AK$100, MATCH($D277, REDBOOKSearchResults!$L$1:$L$100, 0), MATCH(F$2, REDBOOKSearchResults!$1:$1, 0))</f>
        <v>28s ea</v>
      </c>
    </row>
    <row r="278" spans="1:6" x14ac:dyDescent="0.15">
      <c r="A278" s="4">
        <f>REDBOOKSearchResults!BD53</f>
        <v>41214</v>
      </c>
      <c r="B278" s="7">
        <f>REDBOOKSearchResults!BE53</f>
        <v>474.48</v>
      </c>
      <c r="C278" s="7">
        <f>REDBOOKSearchResults!BF53</f>
        <v>6</v>
      </c>
      <c r="D278" s="4" t="str">
        <f>REDBOOKSearchResults!BG53</f>
        <v>59572-0410-28</v>
      </c>
      <c r="E278" t="str">
        <f>INDEX(REDBOOKSearchResults!$N$2:$N$13, MATCH(D278, REDBOOKSearchResults!$L$2:$L$13, 0))</f>
        <v>10 mg</v>
      </c>
      <c r="F278" t="str">
        <f>INDEX(REDBOOKSearchResults!$A$1:$AK$100, MATCH($D278, REDBOOKSearchResults!$L$1:$L$100, 0), MATCH(F$2, REDBOOKSearchResults!$1:$1, 0))</f>
        <v>28s ea</v>
      </c>
    </row>
    <row r="279" spans="1:6" x14ac:dyDescent="0.15">
      <c r="A279" s="4">
        <f>REDBOOKSearchResults!BD54</f>
        <v>40876</v>
      </c>
      <c r="B279" s="7">
        <f>REDBOOKSearchResults!BE54</f>
        <v>447.62286</v>
      </c>
      <c r="C279" s="7">
        <f>REDBOOKSearchResults!BF54</f>
        <v>6</v>
      </c>
      <c r="D279" s="4" t="str">
        <f>REDBOOKSearchResults!BG54</f>
        <v>59572-0410-28</v>
      </c>
      <c r="E279" t="str">
        <f>INDEX(REDBOOKSearchResults!$N$2:$N$13, MATCH(D279, REDBOOKSearchResults!$L$2:$L$13, 0))</f>
        <v>10 mg</v>
      </c>
      <c r="F279" t="str">
        <f>INDEX(REDBOOKSearchResults!$A$1:$AK$100, MATCH($D279, REDBOOKSearchResults!$L$1:$L$100, 0), MATCH(F$2, REDBOOKSearchResults!$1:$1, 0))</f>
        <v>28s ea</v>
      </c>
    </row>
    <row r="280" spans="1:6" x14ac:dyDescent="0.15">
      <c r="A280" s="4">
        <f>REDBOOKSearchResults!BD55</f>
        <v>40523</v>
      </c>
      <c r="B280" s="7">
        <f>REDBOOKSearchResults!BE55</f>
        <v>422.28570999999999</v>
      </c>
      <c r="C280" s="7">
        <f>REDBOOKSearchResults!BF55</f>
        <v>4</v>
      </c>
      <c r="D280" s="4" t="str">
        <f>REDBOOKSearchResults!BG55</f>
        <v>59572-0410-28</v>
      </c>
      <c r="E280" t="str">
        <f>INDEX(REDBOOKSearchResults!$N$2:$N$13, MATCH(D280, REDBOOKSearchResults!$L$2:$L$13, 0))</f>
        <v>10 mg</v>
      </c>
      <c r="F280" t="str">
        <f>INDEX(REDBOOKSearchResults!$A$1:$AK$100, MATCH($D280, REDBOOKSearchResults!$L$1:$L$100, 0), MATCH(F$2, REDBOOKSearchResults!$1:$1, 0))</f>
        <v>28s ea</v>
      </c>
    </row>
    <row r="281" spans="1:6" x14ac:dyDescent="0.15">
      <c r="A281" s="4">
        <f>REDBOOKSearchResults!BD56</f>
        <v>40183</v>
      </c>
      <c r="B281" s="7">
        <f>REDBOOKSearchResults!BE56</f>
        <v>406.04928999999998</v>
      </c>
      <c r="C281" s="7">
        <f>REDBOOKSearchResults!BF56</f>
        <v>8.9</v>
      </c>
      <c r="D281" s="4" t="str">
        <f>REDBOOKSearchResults!BG56</f>
        <v>59572-0410-28</v>
      </c>
      <c r="E281" t="str">
        <f>INDEX(REDBOOKSearchResults!$N$2:$N$13, MATCH(D281, REDBOOKSearchResults!$L$2:$L$13, 0))</f>
        <v>10 mg</v>
      </c>
      <c r="F281" t="str">
        <f>INDEX(REDBOOKSearchResults!$A$1:$AK$100, MATCH($D281, REDBOOKSearchResults!$L$1:$L$100, 0), MATCH(F$2, REDBOOKSearchResults!$1:$1, 0))</f>
        <v>28s ea</v>
      </c>
    </row>
    <row r="282" spans="1:6" x14ac:dyDescent="0.15">
      <c r="A282" s="4">
        <f>REDBOOKSearchResults!BD57</f>
        <v>39939</v>
      </c>
      <c r="B282" s="7">
        <f>REDBOOKSearchResults!BE57</f>
        <v>372.86820999999998</v>
      </c>
      <c r="C282" s="7">
        <f>REDBOOKSearchResults!BF57</f>
        <v>9.9</v>
      </c>
      <c r="D282" s="4" t="str">
        <f>REDBOOKSearchResults!BG57</f>
        <v>59572-0410-28</v>
      </c>
      <c r="E282" t="str">
        <f>INDEX(REDBOOKSearchResults!$N$2:$N$13, MATCH(D282, REDBOOKSearchResults!$L$2:$L$13, 0))</f>
        <v>10 mg</v>
      </c>
      <c r="F282" t="str">
        <f>INDEX(REDBOOKSearchResults!$A$1:$AK$100, MATCH($D282, REDBOOKSearchResults!$L$1:$L$100, 0), MATCH(F$2, REDBOOKSearchResults!$1:$1, 0))</f>
        <v>28s ea</v>
      </c>
    </row>
    <row r="283" spans="1:6" x14ac:dyDescent="0.15">
      <c r="A283" s="4">
        <f>REDBOOKSearchResults!BD58</f>
        <v>39904</v>
      </c>
      <c r="B283" s="7">
        <f>REDBOOKSearchResults!BE58</f>
        <v>339.15607</v>
      </c>
      <c r="C283" s="7">
        <f>REDBOOKSearchResults!BF58</f>
        <v>0</v>
      </c>
      <c r="D283" s="4" t="str">
        <f>REDBOOKSearchResults!BG58</f>
        <v>59572-0410-28</v>
      </c>
      <c r="E283" t="str">
        <f>INDEX(REDBOOKSearchResults!$N$2:$N$13, MATCH(D283, REDBOOKSearchResults!$L$2:$L$13, 0))</f>
        <v>10 mg</v>
      </c>
      <c r="F283" t="str">
        <f>INDEX(REDBOOKSearchResults!$A$1:$AK$100, MATCH($D283, REDBOOKSearchResults!$L$1:$L$100, 0), MATCH(F$2, REDBOOKSearchResults!$1:$1, 0))</f>
        <v>28s ea</v>
      </c>
    </row>
    <row r="284" spans="1:6" x14ac:dyDescent="0.15">
      <c r="D284" s="4"/>
    </row>
    <row r="285" spans="1:6" x14ac:dyDescent="0.15">
      <c r="D285" s="4"/>
    </row>
    <row r="286" spans="1:6" x14ac:dyDescent="0.15">
      <c r="D286" s="4"/>
    </row>
    <row r="287" spans="1:6" x14ac:dyDescent="0.15">
      <c r="D287" s="4"/>
    </row>
    <row r="288" spans="1:6" x14ac:dyDescent="0.15">
      <c r="D288" s="4"/>
    </row>
    <row r="289" spans="4:4" x14ac:dyDescent="0.15">
      <c r="D289" s="4"/>
    </row>
    <row r="290" spans="4:4" x14ac:dyDescent="0.15">
      <c r="D290" s="4"/>
    </row>
    <row r="291" spans="4:4" x14ac:dyDescent="0.15">
      <c r="D291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462E-1920-8E4C-9EEB-9469D46D2E37}">
  <dimension ref="A3:T105"/>
  <sheetViews>
    <sheetView tabSelected="1" workbookViewId="0">
      <selection activeCell="A5" sqref="A5:A35"/>
    </sheetView>
  </sheetViews>
  <sheetFormatPr baseColWidth="10" defaultRowHeight="13" x14ac:dyDescent="0.15"/>
  <cols>
    <col min="1" max="1" width="13.1640625" bestFit="1" customWidth="1"/>
    <col min="2" max="2" width="15.83203125" bestFit="1" customWidth="1"/>
    <col min="3" max="13" width="13.1640625" bestFit="1" customWidth="1"/>
    <col min="14" max="14" width="10.6640625" bestFit="1" customWidth="1"/>
    <col min="15" max="15" width="17.83203125" bestFit="1" customWidth="1"/>
    <col min="16" max="16" width="15" bestFit="1" customWidth="1"/>
    <col min="17" max="17" width="17.83203125" bestFit="1" customWidth="1"/>
    <col min="18" max="18" width="15" bestFit="1" customWidth="1"/>
    <col min="19" max="19" width="17.83203125" bestFit="1" customWidth="1"/>
    <col min="20" max="20" width="15" bestFit="1" customWidth="1"/>
    <col min="21" max="21" width="17.83203125" bestFit="1" customWidth="1"/>
    <col min="22" max="22" width="15" bestFit="1" customWidth="1"/>
    <col min="23" max="23" width="17.83203125" bestFit="1" customWidth="1"/>
    <col min="24" max="24" width="15" bestFit="1" customWidth="1"/>
    <col min="25" max="25" width="17.83203125" bestFit="1" customWidth="1"/>
    <col min="26" max="26" width="10.6640625" bestFit="1" customWidth="1"/>
    <col min="27" max="27" width="12.1640625" bestFit="1" customWidth="1"/>
    <col min="28" max="28" width="17.83203125" bestFit="1" customWidth="1"/>
    <col min="29" max="29" width="15" bestFit="1" customWidth="1"/>
    <col min="30" max="30" width="11.1640625" bestFit="1" customWidth="1"/>
    <col min="31" max="31" width="17.83203125" bestFit="1" customWidth="1"/>
    <col min="32" max="32" width="15" bestFit="1" customWidth="1"/>
    <col min="33" max="33" width="12.1640625" bestFit="1" customWidth="1"/>
    <col min="34" max="34" width="17.83203125" bestFit="1" customWidth="1"/>
    <col min="35" max="35" width="15" bestFit="1" customWidth="1"/>
    <col min="36" max="36" width="11.1640625" bestFit="1" customWidth="1"/>
    <col min="37" max="37" width="17.83203125" bestFit="1" customWidth="1"/>
    <col min="38" max="38" width="10.6640625" bestFit="1" customWidth="1"/>
  </cols>
  <sheetData>
    <row r="3" spans="1:20" x14ac:dyDescent="0.15">
      <c r="A3" s="8" t="s">
        <v>117</v>
      </c>
      <c r="B3" s="8" t="s">
        <v>116</v>
      </c>
    </row>
    <row r="4" spans="1:20" x14ac:dyDescent="0.15">
      <c r="A4" s="8" t="s">
        <v>114</v>
      </c>
      <c r="B4" t="s">
        <v>66</v>
      </c>
      <c r="C4" t="s">
        <v>68</v>
      </c>
      <c r="D4" t="s">
        <v>43</v>
      </c>
      <c r="E4" t="s">
        <v>53</v>
      </c>
      <c r="F4" t="s">
        <v>75</v>
      </c>
      <c r="G4" t="s">
        <v>77</v>
      </c>
      <c r="H4" t="s">
        <v>74</v>
      </c>
      <c r="I4" t="s">
        <v>72</v>
      </c>
      <c r="J4" t="s">
        <v>64</v>
      </c>
      <c r="K4" t="s">
        <v>58</v>
      </c>
      <c r="L4" t="s">
        <v>69</v>
      </c>
      <c r="M4" t="s">
        <v>71</v>
      </c>
      <c r="N4" t="s">
        <v>115</v>
      </c>
      <c r="O4" s="1" t="s">
        <v>119</v>
      </c>
      <c r="P4" s="1" t="s">
        <v>120</v>
      </c>
      <c r="Q4" s="1" t="s">
        <v>121</v>
      </c>
      <c r="R4" s="1" t="s">
        <v>122</v>
      </c>
      <c r="S4" s="1" t="s">
        <v>118</v>
      </c>
      <c r="T4" s="1" t="s">
        <v>123</v>
      </c>
    </row>
    <row r="5" spans="1:20" x14ac:dyDescent="0.15">
      <c r="A5" s="9">
        <v>38715</v>
      </c>
      <c r="B5" s="7"/>
      <c r="C5" s="7"/>
      <c r="D5" s="7">
        <v>258</v>
      </c>
      <c r="E5" s="7"/>
      <c r="F5" s="7">
        <v>270</v>
      </c>
      <c r="G5" s="7"/>
      <c r="H5" s="7"/>
      <c r="I5" s="7"/>
      <c r="J5" s="7"/>
      <c r="K5" s="7"/>
      <c r="L5" s="7"/>
      <c r="M5" s="7"/>
      <c r="N5" s="7">
        <v>528</v>
      </c>
      <c r="O5" s="7">
        <f>AVERAGE(B5:M5)</f>
        <v>264</v>
      </c>
      <c r="P5" s="7">
        <f>MAX(B5:M5)</f>
        <v>270</v>
      </c>
      <c r="Q5" s="7">
        <f>MIN(B5:M5)</f>
        <v>258</v>
      </c>
      <c r="R5" s="7">
        <f>P5-Q5</f>
        <v>12</v>
      </c>
      <c r="S5" s="7">
        <f>P5-O5</f>
        <v>6</v>
      </c>
      <c r="T5" s="7">
        <f>O5-Q5</f>
        <v>6</v>
      </c>
    </row>
    <row r="6" spans="1:20" x14ac:dyDescent="0.15">
      <c r="A6" s="9">
        <v>38898</v>
      </c>
      <c r="B6" s="7"/>
      <c r="C6" s="7"/>
      <c r="D6" s="7"/>
      <c r="E6" s="7"/>
      <c r="F6" s="7"/>
      <c r="G6" s="7"/>
      <c r="H6" s="7">
        <v>336</v>
      </c>
      <c r="I6" s="7">
        <v>336</v>
      </c>
      <c r="J6" s="7"/>
      <c r="K6" s="7"/>
      <c r="L6" s="7">
        <v>354</v>
      </c>
      <c r="M6" s="7"/>
      <c r="N6" s="7">
        <v>1026</v>
      </c>
      <c r="O6" s="7">
        <f t="shared" ref="O6:O35" si="0">AVERAGE(B6:M6)</f>
        <v>342</v>
      </c>
      <c r="P6" s="7">
        <f t="shared" ref="P6:P36" si="1">MAX(B6:M6)</f>
        <v>354</v>
      </c>
      <c r="Q6" s="7">
        <f t="shared" ref="Q6:Q36" si="2">MIN(B6:M6)</f>
        <v>336</v>
      </c>
      <c r="R6" s="7">
        <f t="shared" ref="R6:R36" si="3">P6-Q6</f>
        <v>18</v>
      </c>
      <c r="S6" s="7">
        <f t="shared" ref="S6:S36" si="4">P6-O6</f>
        <v>12</v>
      </c>
      <c r="T6" s="7">
        <f t="shared" ref="T6:T36" si="5">O6-Q6</f>
        <v>6</v>
      </c>
    </row>
    <row r="7" spans="1:20" x14ac:dyDescent="0.15">
      <c r="A7" s="9">
        <v>39085</v>
      </c>
      <c r="B7" s="7"/>
      <c r="C7" s="7"/>
      <c r="D7" s="7">
        <v>283.54199999999997</v>
      </c>
      <c r="E7" s="7"/>
      <c r="F7" s="7">
        <v>296.73</v>
      </c>
      <c r="G7" s="7"/>
      <c r="H7" s="7">
        <v>346.08</v>
      </c>
      <c r="I7" s="7">
        <v>346.08</v>
      </c>
      <c r="J7" s="7"/>
      <c r="K7" s="7"/>
      <c r="L7" s="7">
        <v>364.62</v>
      </c>
      <c r="M7" s="7"/>
      <c r="N7" s="7">
        <v>1637.0519999999997</v>
      </c>
      <c r="O7" s="7">
        <f t="shared" si="0"/>
        <v>327.41039999999992</v>
      </c>
      <c r="P7" s="7">
        <f t="shared" si="1"/>
        <v>364.62</v>
      </c>
      <c r="Q7" s="7">
        <f t="shared" si="2"/>
        <v>283.54199999999997</v>
      </c>
      <c r="R7" s="7">
        <f t="shared" si="3"/>
        <v>81.078000000000031</v>
      </c>
      <c r="S7" s="7">
        <f t="shared" si="4"/>
        <v>37.20960000000008</v>
      </c>
      <c r="T7" s="7">
        <f t="shared" si="5"/>
        <v>43.868399999999951</v>
      </c>
    </row>
    <row r="8" spans="1:20" x14ac:dyDescent="0.15">
      <c r="A8" s="9">
        <v>39451</v>
      </c>
      <c r="B8" s="7"/>
      <c r="C8" s="7"/>
      <c r="D8" s="7">
        <v>311.61270000000002</v>
      </c>
      <c r="E8" s="7"/>
      <c r="F8" s="7">
        <v>326.1062</v>
      </c>
      <c r="G8" s="7"/>
      <c r="H8" s="7">
        <v>363.03789999999998</v>
      </c>
      <c r="I8" s="7">
        <v>363.03762</v>
      </c>
      <c r="J8" s="7"/>
      <c r="K8" s="7"/>
      <c r="L8" s="7">
        <v>377.3818</v>
      </c>
      <c r="M8" s="7"/>
      <c r="N8" s="7">
        <v>1741.1762200000003</v>
      </c>
      <c r="O8" s="7">
        <f t="shared" si="0"/>
        <v>348.23524400000008</v>
      </c>
      <c r="P8" s="7">
        <f t="shared" si="1"/>
        <v>377.3818</v>
      </c>
      <c r="Q8" s="7">
        <f t="shared" si="2"/>
        <v>311.61270000000002</v>
      </c>
      <c r="R8" s="7">
        <f t="shared" si="3"/>
        <v>65.76909999999998</v>
      </c>
      <c r="S8" s="7">
        <f t="shared" si="4"/>
        <v>29.146555999999919</v>
      </c>
      <c r="T8" s="7">
        <f t="shared" si="5"/>
        <v>36.622544000000062</v>
      </c>
    </row>
    <row r="9" spans="1:20" x14ac:dyDescent="0.15">
      <c r="A9" s="9">
        <v>39787</v>
      </c>
      <c r="B9" s="7"/>
      <c r="C9" s="7"/>
      <c r="D9" s="7">
        <v>324.07709999999997</v>
      </c>
      <c r="E9" s="7"/>
      <c r="F9" s="7">
        <v>339.15050000000002</v>
      </c>
      <c r="G9" s="7"/>
      <c r="H9" s="7">
        <v>377.55950000000001</v>
      </c>
      <c r="I9" s="7">
        <v>377.55952000000002</v>
      </c>
      <c r="J9" s="7"/>
      <c r="K9" s="7"/>
      <c r="L9" s="7">
        <v>392.47699999999998</v>
      </c>
      <c r="M9" s="7"/>
      <c r="N9" s="7">
        <v>1810.8236200000001</v>
      </c>
      <c r="O9" s="7">
        <f t="shared" si="0"/>
        <v>362.16472400000004</v>
      </c>
      <c r="P9" s="7">
        <f t="shared" si="1"/>
        <v>392.47699999999998</v>
      </c>
      <c r="Q9" s="7">
        <f t="shared" si="2"/>
        <v>324.07709999999997</v>
      </c>
      <c r="R9" s="7">
        <f t="shared" si="3"/>
        <v>68.399900000000002</v>
      </c>
      <c r="S9" s="7">
        <f t="shared" si="4"/>
        <v>30.31227599999994</v>
      </c>
      <c r="T9" s="7">
        <f t="shared" si="5"/>
        <v>38.087624000000062</v>
      </c>
    </row>
    <row r="10" spans="1:20" x14ac:dyDescent="0.15">
      <c r="A10" s="9">
        <v>39904</v>
      </c>
      <c r="B10" s="7"/>
      <c r="C10" s="7"/>
      <c r="D10" s="7"/>
      <c r="E10" s="7">
        <v>324.07213999999999</v>
      </c>
      <c r="F10" s="7"/>
      <c r="G10" s="7">
        <v>339.15607</v>
      </c>
      <c r="H10" s="7"/>
      <c r="I10" s="7"/>
      <c r="J10" s="7"/>
      <c r="K10" s="7"/>
      <c r="L10" s="7"/>
      <c r="M10" s="7">
        <v>392.47190000000001</v>
      </c>
      <c r="N10" s="7">
        <v>1055.70011</v>
      </c>
      <c r="O10" s="7">
        <f t="shared" si="0"/>
        <v>351.90003666666667</v>
      </c>
      <c r="P10" s="7">
        <f t="shared" si="1"/>
        <v>392.47190000000001</v>
      </c>
      <c r="Q10" s="7">
        <f t="shared" si="2"/>
        <v>324.07213999999999</v>
      </c>
      <c r="R10" s="7">
        <f t="shared" si="3"/>
        <v>68.399760000000015</v>
      </c>
      <c r="S10" s="7">
        <f t="shared" si="4"/>
        <v>40.57186333333334</v>
      </c>
      <c r="T10" s="7">
        <f t="shared" si="5"/>
        <v>27.827896666666675</v>
      </c>
    </row>
    <row r="11" spans="1:20" x14ac:dyDescent="0.15">
      <c r="A11" s="9">
        <v>39939</v>
      </c>
      <c r="B11" s="7"/>
      <c r="C11" s="7"/>
      <c r="D11" s="7">
        <v>356.29039999999998</v>
      </c>
      <c r="E11" s="7">
        <v>356.28820999999999</v>
      </c>
      <c r="F11" s="7">
        <v>372.8621</v>
      </c>
      <c r="G11" s="7">
        <v>372.86820999999998</v>
      </c>
      <c r="H11" s="7">
        <v>388.65969999999999</v>
      </c>
      <c r="I11" s="7">
        <v>388.65951999999999</v>
      </c>
      <c r="J11" s="7"/>
      <c r="K11" s="7"/>
      <c r="L11" s="7"/>
      <c r="M11" s="7"/>
      <c r="N11" s="7">
        <v>2235.6281399999998</v>
      </c>
      <c r="O11" s="7">
        <f t="shared" si="0"/>
        <v>372.60468999999995</v>
      </c>
      <c r="P11" s="7">
        <f t="shared" si="1"/>
        <v>388.65969999999999</v>
      </c>
      <c r="Q11" s="7">
        <f t="shared" si="2"/>
        <v>356.28820999999999</v>
      </c>
      <c r="R11" s="7">
        <f t="shared" si="3"/>
        <v>32.371489999999994</v>
      </c>
      <c r="S11" s="7">
        <f t="shared" si="4"/>
        <v>16.055010000000038</v>
      </c>
      <c r="T11" s="7">
        <f t="shared" si="5"/>
        <v>16.316479999999956</v>
      </c>
    </row>
    <row r="12" spans="1:20" x14ac:dyDescent="0.15">
      <c r="A12" s="9">
        <v>40183</v>
      </c>
      <c r="B12" s="7"/>
      <c r="C12" s="7"/>
      <c r="D12" s="7">
        <v>388.00029999999998</v>
      </c>
      <c r="E12" s="7">
        <v>387.99786</v>
      </c>
      <c r="F12" s="7">
        <v>406.04680000000002</v>
      </c>
      <c r="G12" s="7">
        <v>406.04928999999998</v>
      </c>
      <c r="H12" s="7">
        <v>407.70409999999998</v>
      </c>
      <c r="I12" s="7">
        <v>407.70380999999998</v>
      </c>
      <c r="J12" s="7"/>
      <c r="K12" s="7"/>
      <c r="L12" s="7">
        <v>411.70839999999998</v>
      </c>
      <c r="M12" s="7">
        <v>411.70285999999999</v>
      </c>
      <c r="N12" s="7">
        <v>3226.9134199999999</v>
      </c>
      <c r="O12" s="7">
        <f t="shared" si="0"/>
        <v>403.36417749999998</v>
      </c>
      <c r="P12" s="7">
        <f t="shared" si="1"/>
        <v>411.70839999999998</v>
      </c>
      <c r="Q12" s="7">
        <f t="shared" si="2"/>
        <v>387.99786</v>
      </c>
      <c r="R12" s="7">
        <f t="shared" si="3"/>
        <v>23.71053999999998</v>
      </c>
      <c r="S12" s="7">
        <f t="shared" si="4"/>
        <v>8.3442225000000008</v>
      </c>
      <c r="T12" s="7">
        <f t="shared" si="5"/>
        <v>15.36631749999998</v>
      </c>
    </row>
    <row r="13" spans="1:20" x14ac:dyDescent="0.15">
      <c r="A13" s="9">
        <v>40523</v>
      </c>
      <c r="B13" s="7"/>
      <c r="C13" s="7"/>
      <c r="D13" s="7">
        <v>415.15570000000002</v>
      </c>
      <c r="E13" s="7">
        <v>415.15571</v>
      </c>
      <c r="F13" s="7">
        <v>422.28579999999999</v>
      </c>
      <c r="G13" s="7">
        <v>422.28570999999999</v>
      </c>
      <c r="H13" s="7">
        <v>424.00799999999998</v>
      </c>
      <c r="I13" s="7">
        <v>424.00810000000001</v>
      </c>
      <c r="J13" s="7"/>
      <c r="K13" s="7"/>
      <c r="L13" s="7">
        <v>428.17630000000003</v>
      </c>
      <c r="M13" s="7">
        <v>428.17667</v>
      </c>
      <c r="N13" s="7">
        <v>3379.2519899999998</v>
      </c>
      <c r="O13" s="7">
        <f t="shared" si="0"/>
        <v>422.40649874999997</v>
      </c>
      <c r="P13" s="7">
        <f t="shared" si="1"/>
        <v>428.17667</v>
      </c>
      <c r="Q13" s="7">
        <f t="shared" si="2"/>
        <v>415.15570000000002</v>
      </c>
      <c r="R13" s="7">
        <f t="shared" si="3"/>
        <v>13.020969999999977</v>
      </c>
      <c r="S13" s="7">
        <f t="shared" si="4"/>
        <v>5.7701712500000326</v>
      </c>
      <c r="T13" s="7">
        <f t="shared" si="5"/>
        <v>7.2507987499999444</v>
      </c>
    </row>
    <row r="14" spans="1:20" x14ac:dyDescent="0.15">
      <c r="A14" s="9">
        <v>40876</v>
      </c>
      <c r="B14" s="7"/>
      <c r="C14" s="7"/>
      <c r="D14" s="7">
        <v>440.06509999999997</v>
      </c>
      <c r="E14" s="7">
        <v>440.06536</v>
      </c>
      <c r="F14" s="7">
        <v>447.62290000000002</v>
      </c>
      <c r="G14" s="7">
        <v>447.62286</v>
      </c>
      <c r="H14" s="7">
        <v>449.44850000000002</v>
      </c>
      <c r="I14" s="7">
        <v>449.44857000000002</v>
      </c>
      <c r="J14" s="7"/>
      <c r="K14" s="7"/>
      <c r="L14" s="7">
        <v>453.86689999999999</v>
      </c>
      <c r="M14" s="7">
        <v>453.86761999999999</v>
      </c>
      <c r="N14" s="7">
        <v>3582.0078100000001</v>
      </c>
      <c r="O14" s="7">
        <f t="shared" si="0"/>
        <v>447.75097625000001</v>
      </c>
      <c r="P14" s="7">
        <f t="shared" si="1"/>
        <v>453.86761999999999</v>
      </c>
      <c r="Q14" s="7">
        <f t="shared" si="2"/>
        <v>440.06509999999997</v>
      </c>
      <c r="R14" s="7">
        <f t="shared" si="3"/>
        <v>13.802520000000015</v>
      </c>
      <c r="S14" s="7">
        <f t="shared" si="4"/>
        <v>6.1166437499999802</v>
      </c>
      <c r="T14" s="7">
        <f t="shared" si="5"/>
        <v>7.6858762500000353</v>
      </c>
    </row>
    <row r="15" spans="1:20" x14ac:dyDescent="0.15">
      <c r="A15" s="9">
        <v>41015</v>
      </c>
      <c r="B15" s="7">
        <v>440.06509999999997</v>
      </c>
      <c r="C15" s="7">
        <v>440.06536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>
        <v>880.13045999999997</v>
      </c>
      <c r="O15" s="7">
        <f t="shared" si="0"/>
        <v>440.06522999999999</v>
      </c>
      <c r="P15" s="7">
        <f t="shared" si="1"/>
        <v>440.06536</v>
      </c>
      <c r="Q15" s="7">
        <f t="shared" si="2"/>
        <v>440.06509999999997</v>
      </c>
      <c r="R15" s="7">
        <f t="shared" si="3"/>
        <v>2.6000000002568413E-4</v>
      </c>
      <c r="S15" s="7">
        <f t="shared" si="4"/>
        <v>1.3000000001284207E-4</v>
      </c>
      <c r="T15" s="7">
        <f t="shared" si="5"/>
        <v>1.3000000001284207E-4</v>
      </c>
    </row>
    <row r="16" spans="1:20" x14ac:dyDescent="0.15">
      <c r="A16" s="9">
        <v>41214</v>
      </c>
      <c r="B16" s="7">
        <v>466.46910000000003</v>
      </c>
      <c r="C16" s="7">
        <v>466.46929</v>
      </c>
      <c r="D16" s="7">
        <v>466.46910000000003</v>
      </c>
      <c r="E16" s="7">
        <v>466.46929</v>
      </c>
      <c r="F16" s="7">
        <v>474.48020000000002</v>
      </c>
      <c r="G16" s="7">
        <v>474.48</v>
      </c>
      <c r="H16" s="7">
        <v>476.41539999999998</v>
      </c>
      <c r="I16" s="7">
        <v>476.41523999999998</v>
      </c>
      <c r="J16" s="7"/>
      <c r="K16" s="7"/>
      <c r="L16" s="7">
        <v>481.09879999999998</v>
      </c>
      <c r="M16" s="7">
        <v>481.09951999999998</v>
      </c>
      <c r="N16" s="7">
        <v>4729.8659399999997</v>
      </c>
      <c r="O16" s="7">
        <f t="shared" si="0"/>
        <v>472.98659399999997</v>
      </c>
      <c r="P16" s="7">
        <f t="shared" si="1"/>
        <v>481.09951999999998</v>
      </c>
      <c r="Q16" s="7">
        <f t="shared" si="2"/>
        <v>466.46910000000003</v>
      </c>
      <c r="R16" s="7">
        <f t="shared" si="3"/>
        <v>14.630419999999958</v>
      </c>
      <c r="S16" s="7">
        <f t="shared" si="4"/>
        <v>8.1129260000000158</v>
      </c>
      <c r="T16" s="7">
        <f t="shared" si="5"/>
        <v>6.5174939999999424</v>
      </c>
    </row>
    <row r="17" spans="1:20" x14ac:dyDescent="0.15">
      <c r="A17" s="9">
        <v>41363</v>
      </c>
      <c r="B17" s="7">
        <v>480.4631</v>
      </c>
      <c r="C17" s="7">
        <v>480.46321</v>
      </c>
      <c r="D17" s="7">
        <v>480.4631</v>
      </c>
      <c r="E17" s="7">
        <v>480.46321</v>
      </c>
      <c r="F17" s="7">
        <v>488.71460000000002</v>
      </c>
      <c r="G17" s="7">
        <v>488.71463999999997</v>
      </c>
      <c r="H17" s="7">
        <v>490.7079</v>
      </c>
      <c r="I17" s="7">
        <v>490.7081</v>
      </c>
      <c r="J17" s="7"/>
      <c r="K17" s="7"/>
      <c r="L17" s="7">
        <v>495.53179999999998</v>
      </c>
      <c r="M17" s="7">
        <v>495.53237999999999</v>
      </c>
      <c r="N17" s="7">
        <v>4871.7620399999996</v>
      </c>
      <c r="O17" s="7">
        <f t="shared" si="0"/>
        <v>487.17620399999998</v>
      </c>
      <c r="P17" s="7">
        <f t="shared" si="1"/>
        <v>495.53237999999999</v>
      </c>
      <c r="Q17" s="7">
        <f t="shared" si="2"/>
        <v>480.4631</v>
      </c>
      <c r="R17" s="7">
        <f t="shared" si="3"/>
        <v>15.069279999999992</v>
      </c>
      <c r="S17" s="7">
        <f t="shared" si="4"/>
        <v>8.3561760000000049</v>
      </c>
      <c r="T17" s="7">
        <f t="shared" si="5"/>
        <v>6.7131039999999871</v>
      </c>
    </row>
    <row r="18" spans="1:20" x14ac:dyDescent="0.15">
      <c r="A18" s="9">
        <v>41443</v>
      </c>
      <c r="B18" s="7"/>
      <c r="C18" s="7"/>
      <c r="D18" s="7"/>
      <c r="E18" s="7"/>
      <c r="F18" s="7"/>
      <c r="G18" s="7"/>
      <c r="H18" s="7"/>
      <c r="I18" s="7"/>
      <c r="J18" s="7">
        <v>495.53179999999998</v>
      </c>
      <c r="K18" s="7">
        <v>495.53237999999999</v>
      </c>
      <c r="L18" s="7"/>
      <c r="M18" s="7"/>
      <c r="N18" s="7">
        <v>991.06417999999996</v>
      </c>
      <c r="O18" s="7">
        <f t="shared" si="0"/>
        <v>495.53208999999998</v>
      </c>
      <c r="P18" s="7">
        <f t="shared" si="1"/>
        <v>495.53237999999999</v>
      </c>
      <c r="Q18" s="7">
        <f t="shared" si="2"/>
        <v>495.53179999999998</v>
      </c>
      <c r="R18" s="7">
        <f t="shared" si="3"/>
        <v>5.8000000001356966E-4</v>
      </c>
      <c r="S18" s="7">
        <f t="shared" si="4"/>
        <v>2.9000000000678483E-4</v>
      </c>
      <c r="T18" s="7">
        <f t="shared" si="5"/>
        <v>2.9000000000678483E-4</v>
      </c>
    </row>
    <row r="19" spans="1:20" x14ac:dyDescent="0.15">
      <c r="A19" s="9">
        <v>41548</v>
      </c>
      <c r="B19" s="7">
        <v>494.87700000000001</v>
      </c>
      <c r="C19" s="7">
        <v>494.87714</v>
      </c>
      <c r="D19" s="7">
        <v>494.87700000000001</v>
      </c>
      <c r="E19" s="7">
        <v>494.87714</v>
      </c>
      <c r="F19" s="7">
        <v>503.37610000000001</v>
      </c>
      <c r="G19" s="7">
        <v>503.37607000000003</v>
      </c>
      <c r="H19" s="7">
        <v>505.42910000000001</v>
      </c>
      <c r="I19" s="7">
        <v>505.42905000000002</v>
      </c>
      <c r="J19" s="7">
        <v>510.39780000000002</v>
      </c>
      <c r="K19" s="7">
        <v>510.3981</v>
      </c>
      <c r="L19" s="7">
        <v>510.39780000000002</v>
      </c>
      <c r="M19" s="7">
        <v>510.3981</v>
      </c>
      <c r="N19" s="7">
        <v>6038.7103999999999</v>
      </c>
      <c r="O19" s="7">
        <f t="shared" si="0"/>
        <v>503.22586666666666</v>
      </c>
      <c r="P19" s="7">
        <f t="shared" si="1"/>
        <v>510.3981</v>
      </c>
      <c r="Q19" s="7">
        <f t="shared" si="2"/>
        <v>494.87700000000001</v>
      </c>
      <c r="R19" s="7">
        <f t="shared" si="3"/>
        <v>15.52109999999999</v>
      </c>
      <c r="S19" s="7">
        <f t="shared" si="4"/>
        <v>7.1722333333333381</v>
      </c>
      <c r="T19" s="7">
        <f t="shared" si="5"/>
        <v>8.3488666666666518</v>
      </c>
    </row>
    <row r="20" spans="1:20" x14ac:dyDescent="0.15">
      <c r="A20" s="9">
        <v>41704</v>
      </c>
      <c r="B20" s="7">
        <v>514.6721</v>
      </c>
      <c r="C20" s="7">
        <v>514.67214000000001</v>
      </c>
      <c r="D20" s="7">
        <v>514.6721</v>
      </c>
      <c r="E20" s="7">
        <v>514.67214000000001</v>
      </c>
      <c r="F20" s="7">
        <v>523.51120000000003</v>
      </c>
      <c r="G20" s="7">
        <v>523.51107000000002</v>
      </c>
      <c r="H20" s="7">
        <v>525.64620000000002</v>
      </c>
      <c r="I20" s="7">
        <v>525.64619000000005</v>
      </c>
      <c r="J20" s="7">
        <v>530.81380000000001</v>
      </c>
      <c r="K20" s="7">
        <v>530.81429000000003</v>
      </c>
      <c r="L20" s="7">
        <v>530.81380000000001</v>
      </c>
      <c r="M20" s="7">
        <v>530.81429000000003</v>
      </c>
      <c r="N20" s="7">
        <v>6280.2593200000001</v>
      </c>
      <c r="O20" s="7">
        <f t="shared" si="0"/>
        <v>523.35494333333338</v>
      </c>
      <c r="P20" s="7">
        <f t="shared" si="1"/>
        <v>530.81429000000003</v>
      </c>
      <c r="Q20" s="7">
        <f t="shared" si="2"/>
        <v>514.6721</v>
      </c>
      <c r="R20" s="7">
        <f t="shared" si="3"/>
        <v>16.142190000000028</v>
      </c>
      <c r="S20" s="7">
        <f t="shared" si="4"/>
        <v>7.4593466666666473</v>
      </c>
      <c r="T20" s="7">
        <f t="shared" si="5"/>
        <v>8.6828433333333805</v>
      </c>
    </row>
    <row r="21" spans="1:20" x14ac:dyDescent="0.15">
      <c r="A21" s="9">
        <v>41885</v>
      </c>
      <c r="B21" s="7">
        <v>546.73199999999997</v>
      </c>
      <c r="C21" s="7">
        <v>546.73213999999996</v>
      </c>
      <c r="D21" s="7">
        <v>546.73199999999997</v>
      </c>
      <c r="E21" s="7">
        <v>546.73213999999996</v>
      </c>
      <c r="F21" s="7">
        <v>546.73199999999997</v>
      </c>
      <c r="G21" s="7">
        <v>546.73213999999996</v>
      </c>
      <c r="H21" s="7">
        <v>546.73199999999997</v>
      </c>
      <c r="I21" s="7">
        <v>546.7319</v>
      </c>
      <c r="J21" s="7">
        <v>546.73199999999997</v>
      </c>
      <c r="K21" s="7">
        <v>546.7319</v>
      </c>
      <c r="L21" s="7">
        <v>546.73199999999997</v>
      </c>
      <c r="M21" s="7">
        <v>546.7319</v>
      </c>
      <c r="N21" s="7">
        <v>6560.7841199999993</v>
      </c>
      <c r="O21" s="7">
        <f t="shared" si="0"/>
        <v>546.73200999999995</v>
      </c>
      <c r="P21" s="7">
        <f t="shared" si="1"/>
        <v>546.73213999999996</v>
      </c>
      <c r="Q21" s="7">
        <f t="shared" si="2"/>
        <v>546.7319</v>
      </c>
      <c r="R21" s="7">
        <f t="shared" si="3"/>
        <v>2.3999999996249244E-4</v>
      </c>
      <c r="S21" s="7">
        <f t="shared" si="4"/>
        <v>1.3000000001284207E-4</v>
      </c>
      <c r="T21" s="7">
        <f t="shared" si="5"/>
        <v>1.0999999994965037E-4</v>
      </c>
    </row>
    <row r="22" spans="1:20" x14ac:dyDescent="0.15">
      <c r="A22" s="9">
        <v>41996</v>
      </c>
      <c r="B22" s="7">
        <v>563.13390000000004</v>
      </c>
      <c r="C22" s="7">
        <v>563.13392999999996</v>
      </c>
      <c r="D22" s="7">
        <v>563.13390000000004</v>
      </c>
      <c r="E22" s="7">
        <v>563.13392999999996</v>
      </c>
      <c r="F22" s="7">
        <v>563.13390000000004</v>
      </c>
      <c r="G22" s="7">
        <v>563.13392999999996</v>
      </c>
      <c r="H22" s="7">
        <v>563.13390000000004</v>
      </c>
      <c r="I22" s="7">
        <v>563.13381000000004</v>
      </c>
      <c r="J22" s="7">
        <v>563.13390000000004</v>
      </c>
      <c r="K22" s="7">
        <v>563.13381000000004</v>
      </c>
      <c r="L22" s="7">
        <v>563.13390000000004</v>
      </c>
      <c r="M22" s="7">
        <v>563.13381000000004</v>
      </c>
      <c r="N22" s="7">
        <v>6757.6066200000005</v>
      </c>
      <c r="O22" s="7">
        <f t="shared" si="0"/>
        <v>563.13388500000008</v>
      </c>
      <c r="P22" s="7">
        <f t="shared" si="1"/>
        <v>563.13392999999996</v>
      </c>
      <c r="Q22" s="7">
        <f t="shared" si="2"/>
        <v>563.13381000000004</v>
      </c>
      <c r="R22" s="7">
        <f t="shared" si="3"/>
        <v>1.199999999244028E-4</v>
      </c>
      <c r="S22" s="7">
        <f t="shared" si="4"/>
        <v>4.4999999886385922E-5</v>
      </c>
      <c r="T22" s="7">
        <f t="shared" si="5"/>
        <v>7.5000000038016879E-5</v>
      </c>
    </row>
    <row r="23" spans="1:20" x14ac:dyDescent="0.15">
      <c r="A23" s="9">
        <v>42180</v>
      </c>
      <c r="B23" s="7">
        <v>580.02790000000005</v>
      </c>
      <c r="C23" s="7">
        <v>580.02786000000003</v>
      </c>
      <c r="D23" s="7">
        <v>580.02790000000005</v>
      </c>
      <c r="E23" s="7">
        <v>580.02786000000003</v>
      </c>
      <c r="F23" s="7">
        <v>580.02790000000005</v>
      </c>
      <c r="G23" s="7">
        <v>580.02786000000003</v>
      </c>
      <c r="H23" s="7">
        <v>580.02790000000005</v>
      </c>
      <c r="I23" s="7">
        <v>580.02809999999999</v>
      </c>
      <c r="J23" s="7">
        <v>580.02790000000005</v>
      </c>
      <c r="K23" s="7">
        <v>580.02809999999999</v>
      </c>
      <c r="L23" s="7">
        <v>580.02790000000005</v>
      </c>
      <c r="M23" s="7">
        <v>580.02809999999999</v>
      </c>
      <c r="N23" s="7">
        <v>6960.3352800000011</v>
      </c>
      <c r="O23" s="7">
        <f t="shared" si="0"/>
        <v>580.02794000000006</v>
      </c>
      <c r="P23" s="7">
        <f t="shared" si="1"/>
        <v>580.02809999999999</v>
      </c>
      <c r="Q23" s="7">
        <f t="shared" si="2"/>
        <v>580.02786000000003</v>
      </c>
      <c r="R23" s="7">
        <f t="shared" si="3"/>
        <v>2.3999999996249244E-4</v>
      </c>
      <c r="S23" s="7">
        <f t="shared" si="4"/>
        <v>1.5999999993709935E-4</v>
      </c>
      <c r="T23" s="7">
        <f t="shared" si="5"/>
        <v>8.0000000025393092E-5</v>
      </c>
    </row>
    <row r="24" spans="1:20" x14ac:dyDescent="0.15">
      <c r="A24" s="9">
        <v>42279</v>
      </c>
      <c r="B24" s="7">
        <v>603.22910000000002</v>
      </c>
      <c r="C24" s="7">
        <v>603.22892999999999</v>
      </c>
      <c r="D24" s="7">
        <v>603.22910000000002</v>
      </c>
      <c r="E24" s="7">
        <v>603.22892999999999</v>
      </c>
      <c r="F24" s="7">
        <v>603.22910000000002</v>
      </c>
      <c r="G24" s="7">
        <v>603.22892999999999</v>
      </c>
      <c r="H24" s="7">
        <v>603.22910000000002</v>
      </c>
      <c r="I24" s="7">
        <v>603.22905000000003</v>
      </c>
      <c r="J24" s="7">
        <v>603.22910000000002</v>
      </c>
      <c r="K24" s="7">
        <v>603.22905000000003</v>
      </c>
      <c r="L24" s="7">
        <v>603.22910000000002</v>
      </c>
      <c r="M24" s="7">
        <v>603.22905000000003</v>
      </c>
      <c r="N24" s="7">
        <v>7238.7485400000005</v>
      </c>
      <c r="O24" s="7">
        <f t="shared" si="0"/>
        <v>603.22904500000004</v>
      </c>
      <c r="P24" s="7">
        <f t="shared" si="1"/>
        <v>603.22910000000002</v>
      </c>
      <c r="Q24" s="7">
        <f t="shared" si="2"/>
        <v>603.22892999999999</v>
      </c>
      <c r="R24" s="7">
        <f t="shared" si="3"/>
        <v>1.7000000002553861E-4</v>
      </c>
      <c r="S24" s="7">
        <f t="shared" si="4"/>
        <v>5.4999999974825187E-5</v>
      </c>
      <c r="T24" s="7">
        <f t="shared" si="5"/>
        <v>1.1500000005071342E-4</v>
      </c>
    </row>
    <row r="25" spans="1:20" x14ac:dyDescent="0.15">
      <c r="A25" s="9">
        <v>42439</v>
      </c>
      <c r="B25" s="7">
        <v>644.24869999999999</v>
      </c>
      <c r="C25" s="7">
        <v>644.24820999999997</v>
      </c>
      <c r="D25" s="7">
        <v>644.24869999999999</v>
      </c>
      <c r="E25" s="7">
        <v>644.24820999999997</v>
      </c>
      <c r="F25" s="7">
        <v>644.24869999999999</v>
      </c>
      <c r="G25" s="7">
        <v>644.24820999999997</v>
      </c>
      <c r="H25" s="7">
        <v>644.24869999999999</v>
      </c>
      <c r="I25" s="7">
        <v>644.24856999999997</v>
      </c>
      <c r="J25" s="7">
        <v>644.24869999999999</v>
      </c>
      <c r="K25" s="7">
        <v>644.24856999999997</v>
      </c>
      <c r="L25" s="7">
        <v>644.24869999999999</v>
      </c>
      <c r="M25" s="7">
        <v>644.24856999999997</v>
      </c>
      <c r="N25" s="7">
        <v>7730.9825399999991</v>
      </c>
      <c r="O25" s="7">
        <f t="shared" si="0"/>
        <v>644.24854499999992</v>
      </c>
      <c r="P25" s="7">
        <f t="shared" si="1"/>
        <v>644.24869999999999</v>
      </c>
      <c r="Q25" s="7">
        <f t="shared" si="2"/>
        <v>644.24820999999997</v>
      </c>
      <c r="R25" s="7">
        <f t="shared" si="3"/>
        <v>4.9000000001342414E-4</v>
      </c>
      <c r="S25" s="7">
        <f t="shared" si="4"/>
        <v>1.5500000006340997E-4</v>
      </c>
      <c r="T25" s="7">
        <f t="shared" si="5"/>
        <v>3.3499999995001417E-4</v>
      </c>
    </row>
    <row r="26" spans="1:20" x14ac:dyDescent="0.15">
      <c r="A26" s="9">
        <v>42602</v>
      </c>
      <c r="B26" s="7">
        <v>663.57619999999997</v>
      </c>
      <c r="C26" s="7">
        <v>663.57570999999996</v>
      </c>
      <c r="D26" s="7">
        <v>663.57619999999997</v>
      </c>
      <c r="E26" s="7">
        <v>663.57570999999996</v>
      </c>
      <c r="F26" s="7">
        <v>663.57619999999997</v>
      </c>
      <c r="G26" s="7">
        <v>663.57570999999996</v>
      </c>
      <c r="H26" s="7">
        <v>663.57619999999997</v>
      </c>
      <c r="I26" s="7">
        <v>663.57619</v>
      </c>
      <c r="J26" s="7">
        <v>663.57619999999997</v>
      </c>
      <c r="K26" s="7">
        <v>663.57619</v>
      </c>
      <c r="L26" s="7">
        <v>663.57619999999997</v>
      </c>
      <c r="M26" s="7">
        <v>663.57619</v>
      </c>
      <c r="N26" s="7">
        <v>7962.9128999999994</v>
      </c>
      <c r="O26" s="7">
        <f t="shared" si="0"/>
        <v>663.57607499999995</v>
      </c>
      <c r="P26" s="7">
        <f t="shared" si="1"/>
        <v>663.57619999999997</v>
      </c>
      <c r="Q26" s="7">
        <f t="shared" si="2"/>
        <v>663.57570999999996</v>
      </c>
      <c r="R26" s="7">
        <f t="shared" si="3"/>
        <v>4.9000000001342414E-4</v>
      </c>
      <c r="S26" s="7">
        <f t="shared" si="4"/>
        <v>1.2500000002546585E-4</v>
      </c>
      <c r="T26" s="7">
        <f t="shared" si="5"/>
        <v>3.6499999998795829E-4</v>
      </c>
    </row>
    <row r="27" spans="1:20" x14ac:dyDescent="0.15">
      <c r="A27" s="9">
        <v>42746</v>
      </c>
      <c r="B27" s="7">
        <v>716.66219999999998</v>
      </c>
      <c r="C27" s="7">
        <v>716.66143</v>
      </c>
      <c r="D27" s="7">
        <v>716.66219999999998</v>
      </c>
      <c r="E27" s="7">
        <v>716.66143</v>
      </c>
      <c r="F27" s="7">
        <v>716.66219999999998</v>
      </c>
      <c r="G27" s="7">
        <v>716.66143</v>
      </c>
      <c r="H27" s="7">
        <v>716.66219999999998</v>
      </c>
      <c r="I27" s="7">
        <v>716.66237999999998</v>
      </c>
      <c r="J27" s="7">
        <v>716.66219999999998</v>
      </c>
      <c r="K27" s="7">
        <v>716.66237999999998</v>
      </c>
      <c r="L27" s="7">
        <v>716.66219999999998</v>
      </c>
      <c r="M27" s="7">
        <v>716.66237999999998</v>
      </c>
      <c r="N27" s="7">
        <v>8599.9446299999981</v>
      </c>
      <c r="O27" s="7">
        <f t="shared" si="0"/>
        <v>716.66205249999985</v>
      </c>
      <c r="P27" s="7">
        <f t="shared" si="1"/>
        <v>716.66237999999998</v>
      </c>
      <c r="Q27" s="7">
        <f t="shared" si="2"/>
        <v>716.66143</v>
      </c>
      <c r="R27" s="7">
        <f t="shared" si="3"/>
        <v>9.4999999998890416E-4</v>
      </c>
      <c r="S27" s="7">
        <f t="shared" si="4"/>
        <v>3.2750000013948011E-4</v>
      </c>
      <c r="T27" s="7">
        <f t="shared" si="5"/>
        <v>6.2249999984942406E-4</v>
      </c>
    </row>
    <row r="28" spans="1:20" x14ac:dyDescent="0.15">
      <c r="A28" s="9">
        <v>42927</v>
      </c>
      <c r="B28" s="7">
        <v>729.2038</v>
      </c>
      <c r="C28" s="7">
        <v>729.20321000000001</v>
      </c>
      <c r="D28" s="7">
        <v>729.2038</v>
      </c>
      <c r="E28" s="7">
        <v>729.20321000000001</v>
      </c>
      <c r="F28" s="7">
        <v>729.2038</v>
      </c>
      <c r="G28" s="7">
        <v>729.20321000000001</v>
      </c>
      <c r="H28" s="7">
        <v>729.2038</v>
      </c>
      <c r="I28" s="7">
        <v>729.20380999999998</v>
      </c>
      <c r="J28" s="7">
        <v>729.2038</v>
      </c>
      <c r="K28" s="7">
        <v>729.20380999999998</v>
      </c>
      <c r="L28" s="7">
        <v>729.2038</v>
      </c>
      <c r="M28" s="7">
        <v>729.20380999999998</v>
      </c>
      <c r="N28" s="7">
        <v>8750.4438599999994</v>
      </c>
      <c r="O28" s="7">
        <f t="shared" si="0"/>
        <v>729.20365499999991</v>
      </c>
      <c r="P28" s="7">
        <f t="shared" si="1"/>
        <v>729.20380999999998</v>
      </c>
      <c r="Q28" s="7">
        <f t="shared" si="2"/>
        <v>729.20321000000001</v>
      </c>
      <c r="R28" s="7">
        <f t="shared" si="3"/>
        <v>5.9999999996307452E-4</v>
      </c>
      <c r="S28" s="7">
        <f t="shared" si="4"/>
        <v>1.5500000006340997E-4</v>
      </c>
      <c r="T28" s="7">
        <f t="shared" si="5"/>
        <v>4.4499999989966454E-4</v>
      </c>
    </row>
    <row r="29" spans="1:20" x14ac:dyDescent="0.15">
      <c r="A29" s="9">
        <v>43028</v>
      </c>
      <c r="B29" s="7">
        <v>794.83209999999997</v>
      </c>
      <c r="C29" s="7">
        <v>794.83178999999996</v>
      </c>
      <c r="D29" s="7">
        <v>794.83209999999997</v>
      </c>
      <c r="E29" s="7">
        <v>794.83178999999996</v>
      </c>
      <c r="F29" s="7">
        <v>794.83209999999997</v>
      </c>
      <c r="G29" s="7">
        <v>794.83178999999996</v>
      </c>
      <c r="H29" s="7">
        <v>794.83209999999997</v>
      </c>
      <c r="I29" s="7">
        <v>794.83237999999994</v>
      </c>
      <c r="J29" s="7">
        <v>794.83209999999997</v>
      </c>
      <c r="K29" s="7">
        <v>794.83237999999994</v>
      </c>
      <c r="L29" s="7">
        <v>794.83209999999997</v>
      </c>
      <c r="M29" s="7">
        <v>794.83237999999994</v>
      </c>
      <c r="N29" s="7">
        <v>9537.9851099999978</v>
      </c>
      <c r="O29" s="7">
        <f t="shared" si="0"/>
        <v>794.83209249999982</v>
      </c>
      <c r="P29" s="7">
        <f t="shared" si="1"/>
        <v>794.83237999999994</v>
      </c>
      <c r="Q29" s="7">
        <f t="shared" si="2"/>
        <v>794.83178999999996</v>
      </c>
      <c r="R29" s="7">
        <f t="shared" si="3"/>
        <v>5.8999999998832209E-4</v>
      </c>
      <c r="S29" s="7">
        <f t="shared" si="4"/>
        <v>2.8750000012678356E-4</v>
      </c>
      <c r="T29" s="7">
        <f t="shared" si="5"/>
        <v>3.0249999986153853E-4</v>
      </c>
    </row>
    <row r="30" spans="1:20" x14ac:dyDescent="0.15">
      <c r="A30" s="9">
        <v>43291</v>
      </c>
      <c r="B30" s="7">
        <v>834.57380000000001</v>
      </c>
      <c r="C30" s="7">
        <v>834.57285999999999</v>
      </c>
      <c r="D30" s="7">
        <v>834.57380000000001</v>
      </c>
      <c r="E30" s="7">
        <v>834.57285999999999</v>
      </c>
      <c r="F30" s="7">
        <v>834.57380000000001</v>
      </c>
      <c r="G30" s="7">
        <v>834.57285999999999</v>
      </c>
      <c r="H30" s="7">
        <v>834.57380000000001</v>
      </c>
      <c r="I30" s="7">
        <v>834.57429000000002</v>
      </c>
      <c r="J30" s="7">
        <v>834.57380000000001</v>
      </c>
      <c r="K30" s="7">
        <v>834.57429000000002</v>
      </c>
      <c r="L30" s="7">
        <v>834.57380000000001</v>
      </c>
      <c r="M30" s="7">
        <v>834.57429000000002</v>
      </c>
      <c r="N30" s="7">
        <v>10014.884250000001</v>
      </c>
      <c r="O30" s="7">
        <f t="shared" si="0"/>
        <v>834.57368750000012</v>
      </c>
      <c r="P30" s="7">
        <f t="shared" si="1"/>
        <v>834.57429000000002</v>
      </c>
      <c r="Q30" s="7">
        <f t="shared" si="2"/>
        <v>834.57285999999999</v>
      </c>
      <c r="R30" s="7">
        <f t="shared" si="3"/>
        <v>1.4300000000275759E-3</v>
      </c>
      <c r="S30" s="7">
        <f t="shared" si="4"/>
        <v>6.024999998999192E-4</v>
      </c>
      <c r="T30" s="7">
        <f t="shared" si="5"/>
        <v>8.2750000012765668E-4</v>
      </c>
    </row>
    <row r="31" spans="1:20" x14ac:dyDescent="0.15">
      <c r="A31" s="9">
        <v>43468</v>
      </c>
      <c r="B31" s="7">
        <v>863.78380000000004</v>
      </c>
      <c r="C31" s="7">
        <v>863.78321000000005</v>
      </c>
      <c r="D31" s="7">
        <v>863.78380000000004</v>
      </c>
      <c r="E31" s="7">
        <v>863.78321000000005</v>
      </c>
      <c r="F31" s="7">
        <v>863.78380000000004</v>
      </c>
      <c r="G31" s="7">
        <v>863.78321000000005</v>
      </c>
      <c r="H31" s="7">
        <v>863.78380000000004</v>
      </c>
      <c r="I31" s="7">
        <v>863.78476000000001</v>
      </c>
      <c r="J31" s="7">
        <v>863.78380000000004</v>
      </c>
      <c r="K31" s="7">
        <v>863.78476000000001</v>
      </c>
      <c r="L31" s="7">
        <v>863.78380000000004</v>
      </c>
      <c r="M31" s="7">
        <v>863.78476000000001</v>
      </c>
      <c r="N31" s="7">
        <v>10365.406709999999</v>
      </c>
      <c r="O31" s="7">
        <f t="shared" si="0"/>
        <v>863.78389249999998</v>
      </c>
      <c r="P31" s="7">
        <f t="shared" si="1"/>
        <v>863.78476000000001</v>
      </c>
      <c r="Q31" s="7">
        <f t="shared" si="2"/>
        <v>863.78321000000005</v>
      </c>
      <c r="R31" s="7">
        <f t="shared" si="3"/>
        <v>1.5499999999519787E-3</v>
      </c>
      <c r="S31" s="7">
        <f t="shared" si="4"/>
        <v>8.6750000002666638E-4</v>
      </c>
      <c r="T31" s="7">
        <f t="shared" si="5"/>
        <v>6.824999999253123E-4</v>
      </c>
    </row>
    <row r="32" spans="1:20" x14ac:dyDescent="0.15">
      <c r="A32" s="9">
        <v>43831</v>
      </c>
      <c r="B32" s="7">
        <v>915.61080000000004</v>
      </c>
      <c r="C32" s="7">
        <v>915.61036000000001</v>
      </c>
      <c r="D32" s="7">
        <v>915.61080000000004</v>
      </c>
      <c r="E32" s="7">
        <v>915.61036000000001</v>
      </c>
      <c r="F32" s="7">
        <v>915.61080000000004</v>
      </c>
      <c r="G32" s="7">
        <v>915.61036000000001</v>
      </c>
      <c r="H32" s="7">
        <v>915.61080000000004</v>
      </c>
      <c r="I32" s="7">
        <v>915.61143000000004</v>
      </c>
      <c r="J32" s="7">
        <v>915.61080000000004</v>
      </c>
      <c r="K32" s="7">
        <v>915.61143000000004</v>
      </c>
      <c r="L32" s="7">
        <v>915.61080000000004</v>
      </c>
      <c r="M32" s="7">
        <v>915.61143000000004</v>
      </c>
      <c r="N32" s="7">
        <v>10987.330170000003</v>
      </c>
      <c r="O32" s="7">
        <f t="shared" si="0"/>
        <v>915.6108475000002</v>
      </c>
      <c r="P32" s="7">
        <f t="shared" si="1"/>
        <v>915.61143000000004</v>
      </c>
      <c r="Q32" s="7">
        <f t="shared" si="2"/>
        <v>915.61036000000001</v>
      </c>
      <c r="R32" s="7">
        <f t="shared" si="3"/>
        <v>1.0700000000269938E-3</v>
      </c>
      <c r="S32" s="7">
        <f t="shared" si="4"/>
        <v>5.8249999983672751E-4</v>
      </c>
      <c r="T32" s="7">
        <f t="shared" si="5"/>
        <v>4.8750000019026629E-4</v>
      </c>
    </row>
    <row r="33" spans="1:20" x14ac:dyDescent="0.15">
      <c r="A33" s="9">
        <v>44197</v>
      </c>
      <c r="B33" s="7">
        <v>956.81330000000003</v>
      </c>
      <c r="C33" s="7">
        <v>956.81286</v>
      </c>
      <c r="D33" s="7">
        <v>956.81330000000003</v>
      </c>
      <c r="E33" s="7">
        <v>956.81286</v>
      </c>
      <c r="F33" s="7">
        <v>956.81330000000003</v>
      </c>
      <c r="G33" s="7">
        <v>956.81286</v>
      </c>
      <c r="H33" s="7">
        <v>956.81330000000003</v>
      </c>
      <c r="I33" s="7">
        <v>956.81380999999999</v>
      </c>
      <c r="J33" s="7">
        <v>956.81330000000003</v>
      </c>
      <c r="K33" s="7">
        <v>956.81380999999999</v>
      </c>
      <c r="L33" s="7">
        <v>956.81330000000003</v>
      </c>
      <c r="M33" s="7">
        <v>956.81380999999999</v>
      </c>
      <c r="N33" s="7">
        <v>11481.75981</v>
      </c>
      <c r="O33" s="7">
        <f t="shared" si="0"/>
        <v>956.81331749999993</v>
      </c>
      <c r="P33" s="7">
        <f t="shared" si="1"/>
        <v>956.81380999999999</v>
      </c>
      <c r="Q33" s="7">
        <f t="shared" si="2"/>
        <v>956.81286</v>
      </c>
      <c r="R33" s="7">
        <f t="shared" si="3"/>
        <v>9.4999999998890416E-4</v>
      </c>
      <c r="S33" s="7">
        <f t="shared" si="4"/>
        <v>4.9250000006395567E-4</v>
      </c>
      <c r="T33" s="7">
        <f t="shared" si="5"/>
        <v>4.574999999249485E-4</v>
      </c>
    </row>
    <row r="34" spans="1:20" x14ac:dyDescent="0.15">
      <c r="A34" s="9">
        <v>44562</v>
      </c>
      <c r="B34" s="7">
        <v>999.86990000000003</v>
      </c>
      <c r="C34" s="7">
        <v>999.86928999999998</v>
      </c>
      <c r="D34" s="7">
        <v>999.86990000000003</v>
      </c>
      <c r="E34" s="7">
        <v>999.86928999999998</v>
      </c>
      <c r="F34" s="7">
        <v>999.86990000000003</v>
      </c>
      <c r="G34" s="7">
        <v>999.86928999999998</v>
      </c>
      <c r="H34" s="7">
        <v>999.86990000000003</v>
      </c>
      <c r="I34" s="7">
        <v>999.87048000000004</v>
      </c>
      <c r="J34" s="7">
        <v>999.86990000000003</v>
      </c>
      <c r="K34" s="7">
        <v>999.87048000000004</v>
      </c>
      <c r="L34" s="7">
        <v>999.86990000000003</v>
      </c>
      <c r="M34" s="7">
        <v>999.87048000000004</v>
      </c>
      <c r="N34" s="7">
        <v>11998.438709999999</v>
      </c>
      <c r="O34" s="7">
        <f t="shared" si="0"/>
        <v>999.86989249999988</v>
      </c>
      <c r="P34" s="7">
        <f t="shared" si="1"/>
        <v>999.87048000000004</v>
      </c>
      <c r="Q34" s="7">
        <f t="shared" si="2"/>
        <v>999.86928999999998</v>
      </c>
      <c r="R34" s="7">
        <f t="shared" si="3"/>
        <v>1.1900000000650834E-3</v>
      </c>
      <c r="S34" s="7">
        <f t="shared" si="4"/>
        <v>5.8750000016516424E-4</v>
      </c>
      <c r="T34" s="7">
        <f t="shared" si="5"/>
        <v>6.024999998999192E-4</v>
      </c>
    </row>
    <row r="35" spans="1:20" x14ac:dyDescent="0.15">
      <c r="A35" s="9">
        <v>45474</v>
      </c>
      <c r="B35" s="7">
        <v>1069.8607999999999</v>
      </c>
      <c r="C35" s="7">
        <v>1069.8599999999999</v>
      </c>
      <c r="D35" s="7">
        <v>1069.8607999999999</v>
      </c>
      <c r="E35" s="7">
        <v>1069.8599999999999</v>
      </c>
      <c r="F35" s="7">
        <v>1069.8607999999999</v>
      </c>
      <c r="G35" s="7">
        <v>1069.8599999999999</v>
      </c>
      <c r="H35" s="7">
        <v>1069.8607999999999</v>
      </c>
      <c r="I35" s="7">
        <v>1069.86095</v>
      </c>
      <c r="J35" s="7">
        <v>1069.8607999999999</v>
      </c>
      <c r="K35" s="7">
        <v>1069.86095</v>
      </c>
      <c r="L35" s="7">
        <v>1069.8607999999999</v>
      </c>
      <c r="M35" s="7">
        <v>1069.86095</v>
      </c>
      <c r="N35" s="7">
        <v>12838.327650000001</v>
      </c>
      <c r="O35" s="7">
        <f t="shared" si="0"/>
        <v>1069.8606375000002</v>
      </c>
      <c r="P35" s="7">
        <f t="shared" si="1"/>
        <v>1069.86095</v>
      </c>
      <c r="Q35" s="7">
        <f t="shared" si="2"/>
        <v>1069.8599999999999</v>
      </c>
      <c r="R35" s="7">
        <f t="shared" si="3"/>
        <v>9.50000000102591E-4</v>
      </c>
      <c r="S35" s="7">
        <f t="shared" si="4"/>
        <v>3.1249999983629095E-4</v>
      </c>
      <c r="T35" s="7">
        <f t="shared" si="5"/>
        <v>6.3750000026630005E-4</v>
      </c>
    </row>
    <row r="36" spans="1:20" x14ac:dyDescent="0.15">
      <c r="A36" s="9" t="s">
        <v>115</v>
      </c>
      <c r="B36" s="7">
        <v>13878.704699999998</v>
      </c>
      <c r="C36" s="7">
        <v>13878.69893</v>
      </c>
      <c r="D36" s="7">
        <v>16215.382899999999</v>
      </c>
      <c r="E36" s="7">
        <v>15362.212850000002</v>
      </c>
      <c r="F36" s="7">
        <v>16353.044699999999</v>
      </c>
      <c r="G36" s="7">
        <v>15460.21571</v>
      </c>
      <c r="H36" s="7">
        <v>16572.854599999999</v>
      </c>
      <c r="I36" s="7">
        <v>16572.857629999999</v>
      </c>
      <c r="J36" s="7">
        <v>13018.901699999999</v>
      </c>
      <c r="K36" s="7">
        <v>13018.90668</v>
      </c>
      <c r="L36" s="7">
        <v>16282.230899999999</v>
      </c>
      <c r="M36" s="7">
        <v>15186.225250000001</v>
      </c>
      <c r="N36" s="7">
        <v>181800.23654999997</v>
      </c>
      <c r="P36" s="7">
        <f t="shared" si="1"/>
        <v>16572.857629999999</v>
      </c>
      <c r="Q36" s="7">
        <f t="shared" si="2"/>
        <v>13018.901699999999</v>
      </c>
      <c r="R36" s="7">
        <f t="shared" si="3"/>
        <v>3553.9559300000001</v>
      </c>
      <c r="S36" s="7">
        <f t="shared" si="4"/>
        <v>16572.857629999999</v>
      </c>
      <c r="T36" s="7">
        <f t="shared" si="5"/>
        <v>-13018.901699999999</v>
      </c>
    </row>
    <row r="42" spans="1:20" x14ac:dyDescent="0.15">
      <c r="A42" s="1" t="s">
        <v>124</v>
      </c>
      <c r="B42" s="1" t="s">
        <v>125</v>
      </c>
      <c r="C42" s="1" t="s">
        <v>118</v>
      </c>
      <c r="D42" s="1" t="s">
        <v>126</v>
      </c>
      <c r="E42" t="s">
        <v>127</v>
      </c>
      <c r="F42" t="s">
        <v>128</v>
      </c>
    </row>
    <row r="43" spans="1:20" x14ac:dyDescent="0.15">
      <c r="A43" s="4">
        <f>A5</f>
        <v>38715</v>
      </c>
      <c r="B43" s="7">
        <f>O5</f>
        <v>264</v>
      </c>
      <c r="C43" s="7">
        <f>S5</f>
        <v>6</v>
      </c>
      <c r="D43" s="7">
        <f>T5</f>
        <v>6</v>
      </c>
      <c r="E43">
        <v>2010</v>
      </c>
      <c r="F43">
        <v>350.27887189167751</v>
      </c>
    </row>
    <row r="44" spans="1:20" x14ac:dyDescent="0.15">
      <c r="A44" s="4">
        <f t="shared" ref="A44:A73" si="6">A6</f>
        <v>38898</v>
      </c>
      <c r="B44" s="7">
        <f t="shared" ref="B44" si="7">O6</f>
        <v>342</v>
      </c>
      <c r="C44" s="7">
        <f t="shared" ref="C44:D44" si="8">S6</f>
        <v>12</v>
      </c>
      <c r="D44" s="7">
        <f t="shared" si="8"/>
        <v>6</v>
      </c>
      <c r="E44">
        <v>2011</v>
      </c>
      <c r="F44">
        <v>366.82978970938262</v>
      </c>
    </row>
    <row r="45" spans="1:20" x14ac:dyDescent="0.15">
      <c r="A45" s="4">
        <f t="shared" si="6"/>
        <v>39085</v>
      </c>
      <c r="B45" s="7">
        <f t="shared" ref="B45" si="9">O7</f>
        <v>327.41039999999992</v>
      </c>
      <c r="C45" s="7">
        <f t="shared" ref="C45:D45" si="10">S7</f>
        <v>37.20960000000008</v>
      </c>
      <c r="D45" s="7">
        <f t="shared" si="10"/>
        <v>43.868399999999951</v>
      </c>
      <c r="E45">
        <v>2012</v>
      </c>
      <c r="F45">
        <v>389.28908178236708</v>
      </c>
    </row>
    <row r="46" spans="1:20" x14ac:dyDescent="0.15">
      <c r="A46" s="4">
        <f t="shared" si="6"/>
        <v>39451</v>
      </c>
      <c r="B46" s="7">
        <f t="shared" ref="B46" si="11">O8</f>
        <v>348.23524400000008</v>
      </c>
      <c r="C46" s="7">
        <f t="shared" ref="C46:D46" si="12">S8</f>
        <v>29.146555999999919</v>
      </c>
      <c r="D46" s="7">
        <f t="shared" si="12"/>
        <v>36.622544000000062</v>
      </c>
      <c r="E46">
        <v>2013</v>
      </c>
      <c r="F46">
        <v>418.39983108000001</v>
      </c>
    </row>
    <row r="47" spans="1:20" x14ac:dyDescent="0.15">
      <c r="A47" s="4">
        <f t="shared" si="6"/>
        <v>39787</v>
      </c>
      <c r="B47" s="7">
        <f t="shared" ref="B47" si="13">O9</f>
        <v>362.16472400000004</v>
      </c>
      <c r="C47" s="7">
        <f t="shared" ref="C47:D47" si="14">S9</f>
        <v>30.31227599999994</v>
      </c>
      <c r="D47" s="7">
        <f t="shared" si="14"/>
        <v>38.087624000000062</v>
      </c>
      <c r="E47">
        <v>2014</v>
      </c>
      <c r="F47">
        <v>450.96503587000001</v>
      </c>
    </row>
    <row r="48" spans="1:20" x14ac:dyDescent="0.15">
      <c r="A48" s="4">
        <f t="shared" si="6"/>
        <v>39904</v>
      </c>
      <c r="B48" s="7">
        <f t="shared" ref="B48" si="15">O10</f>
        <v>351.90003666666667</v>
      </c>
      <c r="C48" s="7">
        <f t="shared" ref="C48:D48" si="16">S10</f>
        <v>40.57186333333334</v>
      </c>
      <c r="D48" s="7">
        <f t="shared" si="16"/>
        <v>27.827896666666675</v>
      </c>
      <c r="E48">
        <v>2015</v>
      </c>
      <c r="F48">
        <v>489.91125238000001</v>
      </c>
    </row>
    <row r="49" spans="1:6" x14ac:dyDescent="0.15">
      <c r="A49" s="4">
        <f t="shared" si="6"/>
        <v>39939</v>
      </c>
      <c r="B49" s="7">
        <f t="shared" ref="B49" si="17">O11</f>
        <v>372.60468999999995</v>
      </c>
      <c r="C49" s="7">
        <f t="shared" ref="C49:D49" si="18">S11</f>
        <v>16.055010000000038</v>
      </c>
      <c r="D49" s="7">
        <f t="shared" si="18"/>
        <v>16.316479999999956</v>
      </c>
      <c r="E49">
        <v>2016</v>
      </c>
      <c r="F49">
        <v>543.59019733000002</v>
      </c>
    </row>
    <row r="50" spans="1:6" x14ac:dyDescent="0.15">
      <c r="A50" s="4">
        <f t="shared" si="6"/>
        <v>40183</v>
      </c>
      <c r="B50" s="7">
        <f t="shared" ref="B50" si="19">O12</f>
        <v>403.36417749999998</v>
      </c>
      <c r="C50" s="7">
        <f t="shared" ref="C50:D50" si="20">S12</f>
        <v>8.3442225000000008</v>
      </c>
      <c r="D50" s="7">
        <f t="shared" si="20"/>
        <v>15.36631749999998</v>
      </c>
      <c r="E50">
        <v>2017</v>
      </c>
      <c r="F50">
        <v>626.94004510000002</v>
      </c>
    </row>
    <row r="51" spans="1:6" x14ac:dyDescent="0.15">
      <c r="A51" s="4">
        <f t="shared" si="6"/>
        <v>40523</v>
      </c>
      <c r="B51" s="7">
        <f t="shared" ref="B51" si="21">O13</f>
        <v>422.40649874999997</v>
      </c>
      <c r="C51" s="7">
        <f t="shared" ref="C51:D51" si="22">S13</f>
        <v>5.7701712500000326</v>
      </c>
      <c r="D51" s="7">
        <f t="shared" si="22"/>
        <v>7.2507987499999444</v>
      </c>
      <c r="E51">
        <v>2018</v>
      </c>
      <c r="F51">
        <v>697.35425120000002</v>
      </c>
    </row>
    <row r="52" spans="1:6" x14ac:dyDescent="0.15">
      <c r="A52" s="4">
        <f t="shared" si="6"/>
        <v>40876</v>
      </c>
      <c r="B52" s="7">
        <f t="shared" ref="B52" si="23">O14</f>
        <v>447.75097625000001</v>
      </c>
      <c r="C52" s="7">
        <f t="shared" ref="C52:D52" si="24">S14</f>
        <v>6.1166437499999802</v>
      </c>
      <c r="D52" s="7">
        <f t="shared" si="24"/>
        <v>7.6858762500000353</v>
      </c>
      <c r="E52">
        <v>2019</v>
      </c>
      <c r="F52">
        <v>745.58849599999996</v>
      </c>
    </row>
    <row r="53" spans="1:6" x14ac:dyDescent="0.15">
      <c r="A53" s="4">
        <f t="shared" si="6"/>
        <v>41015</v>
      </c>
      <c r="B53" s="7">
        <f t="shared" ref="B53" si="25">O15</f>
        <v>440.06522999999999</v>
      </c>
      <c r="C53" s="7">
        <f t="shared" ref="C53:D53" si="26">S15</f>
        <v>1.3000000001284207E-4</v>
      </c>
      <c r="D53" s="7">
        <f t="shared" si="26"/>
        <v>1.3000000001284207E-4</v>
      </c>
      <c r="E53">
        <v>2020</v>
      </c>
      <c r="F53">
        <v>794.32802649999996</v>
      </c>
    </row>
    <row r="54" spans="1:6" x14ac:dyDescent="0.15">
      <c r="A54" s="4">
        <f t="shared" si="6"/>
        <v>41214</v>
      </c>
      <c r="B54" s="7">
        <f t="shared" ref="B54" si="27">O16</f>
        <v>472.98659399999997</v>
      </c>
      <c r="C54" s="7">
        <f t="shared" ref="C54:D54" si="28">S16</f>
        <v>8.1129260000000158</v>
      </c>
      <c r="D54" s="7">
        <f t="shared" si="28"/>
        <v>6.5174939999999424</v>
      </c>
      <c r="E54">
        <v>2021</v>
      </c>
      <c r="F54">
        <v>840.1744443</v>
      </c>
    </row>
    <row r="55" spans="1:6" x14ac:dyDescent="0.15">
      <c r="A55" s="4">
        <f t="shared" si="6"/>
        <v>41363</v>
      </c>
      <c r="B55" s="7">
        <f t="shared" ref="B55" si="29">O17</f>
        <v>487.17620399999998</v>
      </c>
      <c r="C55" s="7">
        <f t="shared" ref="C55:D55" si="30">S17</f>
        <v>8.3561760000000049</v>
      </c>
      <c r="D55" s="7">
        <f t="shared" si="30"/>
        <v>6.7131039999999871</v>
      </c>
      <c r="E55">
        <v>2022</v>
      </c>
      <c r="F55">
        <v>883.09617739999999</v>
      </c>
    </row>
    <row r="56" spans="1:6" x14ac:dyDescent="0.15">
      <c r="A56" s="4">
        <f t="shared" si="6"/>
        <v>41443</v>
      </c>
      <c r="B56" s="7">
        <f t="shared" ref="B56" si="31">O18</f>
        <v>495.53208999999998</v>
      </c>
      <c r="C56" s="7">
        <f t="shared" ref="C56:D56" si="32">S18</f>
        <v>2.9000000000678483E-4</v>
      </c>
      <c r="D56" s="7">
        <f t="shared" si="32"/>
        <v>2.9000000000678483E-4</v>
      </c>
      <c r="E56">
        <v>2023</v>
      </c>
      <c r="F56">
        <v>878.21219629999996</v>
      </c>
    </row>
    <row r="57" spans="1:6" x14ac:dyDescent="0.15">
      <c r="A57" s="4">
        <f t="shared" si="6"/>
        <v>41548</v>
      </c>
      <c r="B57" s="7">
        <f t="shared" ref="B57" si="33">O19</f>
        <v>503.22586666666666</v>
      </c>
      <c r="C57" s="7">
        <f t="shared" ref="C57:D57" si="34">S19</f>
        <v>7.1722333333333381</v>
      </c>
      <c r="D57" s="7">
        <f t="shared" si="34"/>
        <v>8.3488666666666518</v>
      </c>
    </row>
    <row r="58" spans="1:6" x14ac:dyDescent="0.15">
      <c r="A58" s="4">
        <f t="shared" si="6"/>
        <v>41704</v>
      </c>
      <c r="B58" s="7">
        <f t="shared" ref="B58" si="35">O20</f>
        <v>523.35494333333338</v>
      </c>
      <c r="C58" s="7">
        <f t="shared" ref="C58:D58" si="36">S20</f>
        <v>7.4593466666666473</v>
      </c>
      <c r="D58" s="7">
        <f t="shared" si="36"/>
        <v>8.6828433333333805</v>
      </c>
    </row>
    <row r="59" spans="1:6" x14ac:dyDescent="0.15">
      <c r="A59" s="4">
        <f t="shared" si="6"/>
        <v>41885</v>
      </c>
      <c r="B59" s="7">
        <f t="shared" ref="B59" si="37">O21</f>
        <v>546.73200999999995</v>
      </c>
      <c r="C59" s="7">
        <f t="shared" ref="C59:D59" si="38">S21</f>
        <v>1.3000000001284207E-4</v>
      </c>
      <c r="D59" s="7">
        <f t="shared" si="38"/>
        <v>1.0999999994965037E-4</v>
      </c>
    </row>
    <row r="60" spans="1:6" x14ac:dyDescent="0.15">
      <c r="A60" s="4">
        <f t="shared" si="6"/>
        <v>41996</v>
      </c>
      <c r="B60" s="7">
        <f t="shared" ref="B60" si="39">O22</f>
        <v>563.13388500000008</v>
      </c>
      <c r="C60" s="7">
        <f t="shared" ref="C60:D60" si="40">S22</f>
        <v>4.4999999886385922E-5</v>
      </c>
      <c r="D60" s="7">
        <f t="shared" si="40"/>
        <v>7.5000000038016879E-5</v>
      </c>
    </row>
    <row r="61" spans="1:6" x14ac:dyDescent="0.15">
      <c r="A61" s="4">
        <f t="shared" si="6"/>
        <v>42180</v>
      </c>
      <c r="B61" s="7">
        <f t="shared" ref="B61" si="41">O23</f>
        <v>580.02794000000006</v>
      </c>
      <c r="C61" s="7">
        <f t="shared" ref="C61:D61" si="42">S23</f>
        <v>1.5999999993709935E-4</v>
      </c>
      <c r="D61" s="7">
        <f t="shared" si="42"/>
        <v>8.0000000025393092E-5</v>
      </c>
    </row>
    <row r="62" spans="1:6" x14ac:dyDescent="0.15">
      <c r="A62" s="4">
        <f t="shared" si="6"/>
        <v>42279</v>
      </c>
      <c r="B62" s="7">
        <f t="shared" ref="B62" si="43">O24</f>
        <v>603.22904500000004</v>
      </c>
      <c r="C62" s="7">
        <f t="shared" ref="C62:D62" si="44">S24</f>
        <v>5.4999999974825187E-5</v>
      </c>
      <c r="D62" s="7">
        <f t="shared" si="44"/>
        <v>1.1500000005071342E-4</v>
      </c>
    </row>
    <row r="63" spans="1:6" x14ac:dyDescent="0.15">
      <c r="A63" s="4">
        <f t="shared" si="6"/>
        <v>42439</v>
      </c>
      <c r="B63" s="7">
        <f t="shared" ref="B63" si="45">O25</f>
        <v>644.24854499999992</v>
      </c>
      <c r="C63" s="7">
        <f t="shared" ref="C63:D63" si="46">S25</f>
        <v>1.5500000006340997E-4</v>
      </c>
      <c r="D63" s="7">
        <f t="shared" si="46"/>
        <v>3.3499999995001417E-4</v>
      </c>
    </row>
    <row r="64" spans="1:6" x14ac:dyDescent="0.15">
      <c r="A64" s="4">
        <f t="shared" si="6"/>
        <v>42602</v>
      </c>
      <c r="B64" s="7">
        <f t="shared" ref="B64" si="47">O26</f>
        <v>663.57607499999995</v>
      </c>
      <c r="C64" s="7">
        <f t="shared" ref="C64:D64" si="48">S26</f>
        <v>1.2500000002546585E-4</v>
      </c>
      <c r="D64" s="7">
        <f t="shared" si="48"/>
        <v>3.6499999998795829E-4</v>
      </c>
    </row>
    <row r="65" spans="1:4" x14ac:dyDescent="0.15">
      <c r="A65" s="4">
        <f t="shared" si="6"/>
        <v>42746</v>
      </c>
      <c r="B65" s="7">
        <f t="shared" ref="B65" si="49">O27</f>
        <v>716.66205249999985</v>
      </c>
      <c r="C65" s="7">
        <f t="shared" ref="C65:D65" si="50">S27</f>
        <v>3.2750000013948011E-4</v>
      </c>
      <c r="D65" s="7">
        <f t="shared" si="50"/>
        <v>6.2249999984942406E-4</v>
      </c>
    </row>
    <row r="66" spans="1:4" x14ac:dyDescent="0.15">
      <c r="A66" s="4">
        <f t="shared" si="6"/>
        <v>42927</v>
      </c>
      <c r="B66" s="7">
        <f t="shared" ref="B66" si="51">O28</f>
        <v>729.20365499999991</v>
      </c>
      <c r="C66" s="7">
        <f t="shared" ref="C66:D66" si="52">S28</f>
        <v>1.5500000006340997E-4</v>
      </c>
      <c r="D66" s="7">
        <f t="shared" si="52"/>
        <v>4.4499999989966454E-4</v>
      </c>
    </row>
    <row r="67" spans="1:4" x14ac:dyDescent="0.15">
      <c r="A67" s="4">
        <f t="shared" si="6"/>
        <v>43028</v>
      </c>
      <c r="B67" s="7">
        <f t="shared" ref="B67" si="53">O29</f>
        <v>794.83209249999982</v>
      </c>
      <c r="C67" s="7">
        <f t="shared" ref="C67:D67" si="54">S29</f>
        <v>2.8750000012678356E-4</v>
      </c>
      <c r="D67" s="7">
        <f t="shared" si="54"/>
        <v>3.0249999986153853E-4</v>
      </c>
    </row>
    <row r="68" spans="1:4" x14ac:dyDescent="0.15">
      <c r="A68" s="4">
        <f t="shared" si="6"/>
        <v>43291</v>
      </c>
      <c r="B68" s="7">
        <f t="shared" ref="B68" si="55">O30</f>
        <v>834.57368750000012</v>
      </c>
      <c r="C68" s="7">
        <f t="shared" ref="C68:D68" si="56">S30</f>
        <v>6.024999998999192E-4</v>
      </c>
      <c r="D68" s="7">
        <f t="shared" si="56"/>
        <v>8.2750000012765668E-4</v>
      </c>
    </row>
    <row r="69" spans="1:4" x14ac:dyDescent="0.15">
      <c r="A69" s="4">
        <f t="shared" si="6"/>
        <v>43468</v>
      </c>
      <c r="B69" s="7">
        <f t="shared" ref="B69" si="57">O31</f>
        <v>863.78389249999998</v>
      </c>
      <c r="C69" s="7">
        <f t="shared" ref="C69:D69" si="58">S31</f>
        <v>8.6750000002666638E-4</v>
      </c>
      <c r="D69" s="7">
        <f t="shared" si="58"/>
        <v>6.824999999253123E-4</v>
      </c>
    </row>
    <row r="70" spans="1:4" x14ac:dyDescent="0.15">
      <c r="A70" s="4">
        <f t="shared" si="6"/>
        <v>43831</v>
      </c>
      <c r="B70" s="7">
        <f t="shared" ref="B70" si="59">O32</f>
        <v>915.6108475000002</v>
      </c>
      <c r="C70" s="7">
        <f t="shared" ref="C70:D70" si="60">S32</f>
        <v>5.8249999983672751E-4</v>
      </c>
      <c r="D70" s="7">
        <f t="shared" si="60"/>
        <v>4.8750000019026629E-4</v>
      </c>
    </row>
    <row r="71" spans="1:4" x14ac:dyDescent="0.15">
      <c r="A71" s="4">
        <f t="shared" si="6"/>
        <v>44197</v>
      </c>
      <c r="B71" s="7">
        <f t="shared" ref="B71" si="61">O33</f>
        <v>956.81331749999993</v>
      </c>
      <c r="C71" s="7">
        <f t="shared" ref="C71:D71" si="62">S33</f>
        <v>4.9250000006395567E-4</v>
      </c>
      <c r="D71" s="7">
        <f t="shared" si="62"/>
        <v>4.574999999249485E-4</v>
      </c>
    </row>
    <row r="72" spans="1:4" x14ac:dyDescent="0.15">
      <c r="A72" s="4">
        <f t="shared" si="6"/>
        <v>44562</v>
      </c>
      <c r="B72" s="7">
        <f t="shared" ref="B72" si="63">O34</f>
        <v>999.86989249999988</v>
      </c>
      <c r="C72" s="7">
        <f t="shared" ref="C72:D72" si="64">S34</f>
        <v>5.8750000016516424E-4</v>
      </c>
      <c r="D72" s="7">
        <f t="shared" si="64"/>
        <v>6.024999998999192E-4</v>
      </c>
    </row>
    <row r="73" spans="1:4" x14ac:dyDescent="0.15">
      <c r="A73" s="4">
        <f t="shared" si="6"/>
        <v>45474</v>
      </c>
      <c r="B73" s="7">
        <f t="shared" ref="B73" si="65">O35</f>
        <v>1069.8606375000002</v>
      </c>
      <c r="C73" s="7">
        <f t="shared" ref="C73:D73" si="66">S35</f>
        <v>3.1249999983629095E-4</v>
      </c>
      <c r="D73" s="7">
        <f t="shared" si="66"/>
        <v>6.3750000026630005E-4</v>
      </c>
    </row>
    <row r="74" spans="1:4" x14ac:dyDescent="0.15">
      <c r="A74" s="4"/>
      <c r="B74" s="7"/>
      <c r="C74" s="7"/>
    </row>
    <row r="75" spans="1:4" x14ac:dyDescent="0.15">
      <c r="A75" s="4"/>
      <c r="B75" s="7"/>
      <c r="C75" s="7"/>
    </row>
    <row r="76" spans="1:4" x14ac:dyDescent="0.15">
      <c r="A76" s="4"/>
      <c r="B76" s="7"/>
      <c r="C76" s="7"/>
    </row>
    <row r="77" spans="1:4" x14ac:dyDescent="0.15">
      <c r="A77" s="4"/>
      <c r="B77" s="7"/>
      <c r="C77" s="7"/>
    </row>
    <row r="78" spans="1:4" x14ac:dyDescent="0.15">
      <c r="A78" s="4"/>
      <c r="B78" s="7"/>
      <c r="C78" s="7"/>
    </row>
    <row r="79" spans="1:4" x14ac:dyDescent="0.15">
      <c r="A79" s="4"/>
      <c r="B79" s="7"/>
      <c r="C79" s="7"/>
    </row>
    <row r="80" spans="1:4" x14ac:dyDescent="0.15">
      <c r="A80" s="4"/>
      <c r="B80" s="7"/>
      <c r="C80" s="7"/>
    </row>
    <row r="81" spans="1:3" x14ac:dyDescent="0.15">
      <c r="A81" s="4"/>
      <c r="B81" s="7"/>
      <c r="C81" s="7"/>
    </row>
    <row r="82" spans="1:3" x14ac:dyDescent="0.15">
      <c r="A82" s="4"/>
      <c r="B82" s="7"/>
      <c r="C82" s="7"/>
    </row>
    <row r="83" spans="1:3" x14ac:dyDescent="0.15">
      <c r="A83" s="4"/>
      <c r="B83" s="7"/>
      <c r="C83" s="7"/>
    </row>
    <row r="84" spans="1:3" x14ac:dyDescent="0.15">
      <c r="A84" s="4"/>
      <c r="B84" s="7"/>
      <c r="C84" s="7"/>
    </row>
    <row r="85" spans="1:3" x14ac:dyDescent="0.15">
      <c r="A85" s="4"/>
      <c r="B85" s="7"/>
      <c r="C85" s="7"/>
    </row>
    <row r="86" spans="1:3" x14ac:dyDescent="0.15">
      <c r="A86" s="4"/>
      <c r="B86" s="7"/>
      <c r="C86" s="7"/>
    </row>
    <row r="87" spans="1:3" x14ac:dyDescent="0.15">
      <c r="A87" s="4"/>
      <c r="B87" s="7"/>
      <c r="C87" s="7"/>
    </row>
    <row r="88" spans="1:3" x14ac:dyDescent="0.15">
      <c r="A88" s="4"/>
      <c r="B88" s="7"/>
      <c r="C88" s="7"/>
    </row>
    <row r="89" spans="1:3" x14ac:dyDescent="0.15">
      <c r="A89" s="4"/>
      <c r="B89" s="7"/>
      <c r="C89" s="7"/>
    </row>
    <row r="90" spans="1:3" x14ac:dyDescent="0.15">
      <c r="A90" s="4"/>
      <c r="B90" s="7"/>
      <c r="C90" s="7"/>
    </row>
    <row r="91" spans="1:3" x14ac:dyDescent="0.15">
      <c r="A91" s="4"/>
      <c r="B91" s="7"/>
      <c r="C91" s="7"/>
    </row>
    <row r="92" spans="1:3" x14ac:dyDescent="0.15">
      <c r="A92" s="4"/>
      <c r="B92" s="7"/>
      <c r="C92" s="7"/>
    </row>
    <row r="93" spans="1:3" x14ac:dyDescent="0.15">
      <c r="A93" s="4"/>
      <c r="B93" s="7"/>
      <c r="C93" s="7"/>
    </row>
    <row r="94" spans="1:3" x14ac:dyDescent="0.15">
      <c r="A94" s="4"/>
      <c r="B94" s="7"/>
      <c r="C94" s="7"/>
    </row>
    <row r="95" spans="1:3" x14ac:dyDescent="0.15">
      <c r="A95" s="4"/>
      <c r="B95" s="7"/>
      <c r="C95" s="7"/>
    </row>
    <row r="96" spans="1:3" x14ac:dyDescent="0.15">
      <c r="A96" s="4"/>
      <c r="B96" s="7"/>
      <c r="C96" s="7"/>
    </row>
    <row r="97" spans="1:3" x14ac:dyDescent="0.15">
      <c r="A97" s="4"/>
      <c r="B97" s="7"/>
      <c r="C97" s="7"/>
    </row>
    <row r="98" spans="1:3" x14ac:dyDescent="0.15">
      <c r="A98" s="4"/>
      <c r="B98" s="7"/>
      <c r="C98" s="7"/>
    </row>
    <row r="99" spans="1:3" x14ac:dyDescent="0.15">
      <c r="A99" s="4"/>
      <c r="B99" s="7"/>
      <c r="C99" s="7"/>
    </row>
    <row r="100" spans="1:3" x14ac:dyDescent="0.15">
      <c r="A100" s="4"/>
      <c r="B100" s="7"/>
      <c r="C100" s="7"/>
    </row>
    <row r="101" spans="1:3" x14ac:dyDescent="0.15">
      <c r="A101" s="4"/>
      <c r="B101" s="7"/>
      <c r="C101" s="7"/>
    </row>
    <row r="102" spans="1:3" x14ac:dyDescent="0.15">
      <c r="A102" s="4"/>
      <c r="B102" s="7"/>
      <c r="C102" s="7"/>
    </row>
    <row r="103" spans="1:3" x14ac:dyDescent="0.15">
      <c r="A103" s="4"/>
      <c r="B103" s="7"/>
      <c r="C103" s="7"/>
    </row>
    <row r="104" spans="1:3" x14ac:dyDescent="0.15">
      <c r="A104" s="4"/>
      <c r="B104" s="7"/>
      <c r="C104" s="7"/>
    </row>
    <row r="105" spans="1:3" x14ac:dyDescent="0.15">
      <c r="A105" s="4"/>
      <c r="B105" s="7"/>
      <c r="C105" s="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8A56-791E-FD43-8D49-0A6E434458C7}">
  <dimension ref="A1:E282"/>
  <sheetViews>
    <sheetView workbookViewId="0">
      <selection activeCell="I38" sqref="I38"/>
    </sheetView>
  </sheetViews>
  <sheetFormatPr baseColWidth="10" defaultRowHeight="13" x14ac:dyDescent="0.15"/>
  <cols>
    <col min="1" max="1" width="10.83203125" style="4"/>
  </cols>
  <sheetData>
    <row r="1" spans="1:5" x14ac:dyDescent="0.15">
      <c r="A1" s="4" t="s">
        <v>99</v>
      </c>
      <c r="B1" t="s">
        <v>100</v>
      </c>
      <c r="C1" t="s">
        <v>10</v>
      </c>
      <c r="D1" t="s">
        <v>113</v>
      </c>
      <c r="E1" t="s">
        <v>14</v>
      </c>
    </row>
    <row r="2" spans="1:5" x14ac:dyDescent="0.15">
      <c r="A2" s="4">
        <v>45474</v>
      </c>
      <c r="B2">
        <v>1069.8607999999999</v>
      </c>
      <c r="C2" t="s">
        <v>43</v>
      </c>
      <c r="D2" t="s">
        <v>45</v>
      </c>
      <c r="E2" t="s">
        <v>47</v>
      </c>
    </row>
    <row r="3" spans="1:5" x14ac:dyDescent="0.15">
      <c r="A3" s="4">
        <v>44562</v>
      </c>
      <c r="B3">
        <v>999.86990000000003</v>
      </c>
      <c r="C3" t="s">
        <v>43</v>
      </c>
      <c r="D3" t="s">
        <v>45</v>
      </c>
      <c r="E3" t="s">
        <v>47</v>
      </c>
    </row>
    <row r="4" spans="1:5" x14ac:dyDescent="0.15">
      <c r="A4" s="4">
        <v>44197</v>
      </c>
      <c r="B4">
        <v>956.81330000000003</v>
      </c>
      <c r="C4" t="s">
        <v>43</v>
      </c>
      <c r="D4" t="s">
        <v>45</v>
      </c>
      <c r="E4" t="s">
        <v>47</v>
      </c>
    </row>
    <row r="5" spans="1:5" x14ac:dyDescent="0.15">
      <c r="A5" s="4">
        <v>43831</v>
      </c>
      <c r="B5">
        <v>915.61080000000004</v>
      </c>
      <c r="C5" t="s">
        <v>43</v>
      </c>
      <c r="D5" t="s">
        <v>45</v>
      </c>
      <c r="E5" t="s">
        <v>47</v>
      </c>
    </row>
    <row r="6" spans="1:5" x14ac:dyDescent="0.15">
      <c r="A6" s="4">
        <v>43468</v>
      </c>
      <c r="B6">
        <v>863.78380000000004</v>
      </c>
      <c r="C6" t="s">
        <v>43</v>
      </c>
      <c r="D6" t="s">
        <v>45</v>
      </c>
      <c r="E6" t="s">
        <v>47</v>
      </c>
    </row>
    <row r="7" spans="1:5" x14ac:dyDescent="0.15">
      <c r="A7" s="4">
        <v>43291</v>
      </c>
      <c r="B7">
        <v>834.57380000000001</v>
      </c>
      <c r="C7" t="s">
        <v>43</v>
      </c>
      <c r="D7" t="s">
        <v>45</v>
      </c>
      <c r="E7" t="s">
        <v>47</v>
      </c>
    </row>
    <row r="8" spans="1:5" x14ac:dyDescent="0.15">
      <c r="A8" s="4">
        <v>43028</v>
      </c>
      <c r="B8">
        <v>794.83209999999997</v>
      </c>
      <c r="C8" t="s">
        <v>43</v>
      </c>
      <c r="D8" t="s">
        <v>45</v>
      </c>
      <c r="E8" t="s">
        <v>47</v>
      </c>
    </row>
    <row r="9" spans="1:5" x14ac:dyDescent="0.15">
      <c r="A9" s="4">
        <v>42927</v>
      </c>
      <c r="B9">
        <v>729.2038</v>
      </c>
      <c r="C9" t="s">
        <v>43</v>
      </c>
      <c r="D9" t="s">
        <v>45</v>
      </c>
      <c r="E9" t="s">
        <v>47</v>
      </c>
    </row>
    <row r="10" spans="1:5" x14ac:dyDescent="0.15">
      <c r="A10" s="4">
        <v>42746</v>
      </c>
      <c r="B10">
        <v>716.66219999999998</v>
      </c>
      <c r="C10" t="s">
        <v>43</v>
      </c>
      <c r="D10" t="s">
        <v>45</v>
      </c>
      <c r="E10" t="s">
        <v>47</v>
      </c>
    </row>
    <row r="11" spans="1:5" x14ac:dyDescent="0.15">
      <c r="A11" s="4">
        <v>42602</v>
      </c>
      <c r="B11">
        <v>663.57619999999997</v>
      </c>
      <c r="C11" t="s">
        <v>43</v>
      </c>
      <c r="D11" t="s">
        <v>45</v>
      </c>
      <c r="E11" t="s">
        <v>47</v>
      </c>
    </row>
    <row r="12" spans="1:5" x14ac:dyDescent="0.15">
      <c r="A12" s="4">
        <v>42439</v>
      </c>
      <c r="B12">
        <v>644.24869999999999</v>
      </c>
      <c r="C12" t="s">
        <v>43</v>
      </c>
      <c r="D12" t="s">
        <v>45</v>
      </c>
      <c r="E12" t="s">
        <v>47</v>
      </c>
    </row>
    <row r="13" spans="1:5" x14ac:dyDescent="0.15">
      <c r="A13" s="4">
        <v>42279</v>
      </c>
      <c r="B13">
        <v>603.22910000000002</v>
      </c>
      <c r="C13" t="s">
        <v>43</v>
      </c>
      <c r="D13" t="s">
        <v>45</v>
      </c>
      <c r="E13" t="s">
        <v>47</v>
      </c>
    </row>
    <row r="14" spans="1:5" x14ac:dyDescent="0.15">
      <c r="A14" s="4">
        <v>42180</v>
      </c>
      <c r="B14">
        <v>580.02790000000005</v>
      </c>
      <c r="C14" t="s">
        <v>43</v>
      </c>
      <c r="D14" t="s">
        <v>45</v>
      </c>
      <c r="E14" t="s">
        <v>47</v>
      </c>
    </row>
    <row r="15" spans="1:5" x14ac:dyDescent="0.15">
      <c r="A15" s="4">
        <v>41996</v>
      </c>
      <c r="B15">
        <v>563.13390000000004</v>
      </c>
      <c r="C15" t="s">
        <v>43</v>
      </c>
      <c r="D15" t="s">
        <v>45</v>
      </c>
      <c r="E15" t="s">
        <v>47</v>
      </c>
    </row>
    <row r="16" spans="1:5" x14ac:dyDescent="0.15">
      <c r="A16" s="4">
        <v>41885</v>
      </c>
      <c r="B16">
        <v>546.73199999999997</v>
      </c>
      <c r="C16" t="s">
        <v>43</v>
      </c>
      <c r="D16" t="s">
        <v>45</v>
      </c>
      <c r="E16" t="s">
        <v>47</v>
      </c>
    </row>
    <row r="17" spans="1:5" x14ac:dyDescent="0.15">
      <c r="A17" s="4">
        <v>41704</v>
      </c>
      <c r="B17">
        <v>514.6721</v>
      </c>
      <c r="C17" t="s">
        <v>43</v>
      </c>
      <c r="D17" t="s">
        <v>45</v>
      </c>
      <c r="E17" t="s">
        <v>47</v>
      </c>
    </row>
    <row r="18" spans="1:5" x14ac:dyDescent="0.15">
      <c r="A18" s="4">
        <v>41548</v>
      </c>
      <c r="B18">
        <v>494.87700000000001</v>
      </c>
      <c r="C18" t="s">
        <v>43</v>
      </c>
      <c r="D18" t="s">
        <v>45</v>
      </c>
      <c r="E18" t="s">
        <v>47</v>
      </c>
    </row>
    <row r="19" spans="1:5" x14ac:dyDescent="0.15">
      <c r="A19" s="4">
        <v>41363</v>
      </c>
      <c r="B19">
        <v>480.4631</v>
      </c>
      <c r="C19" t="s">
        <v>43</v>
      </c>
      <c r="D19" t="s">
        <v>45</v>
      </c>
      <c r="E19" t="s">
        <v>47</v>
      </c>
    </row>
    <row r="20" spans="1:5" x14ac:dyDescent="0.15">
      <c r="A20" s="4">
        <v>41214</v>
      </c>
      <c r="B20">
        <v>466.46910000000003</v>
      </c>
      <c r="C20" t="s">
        <v>43</v>
      </c>
      <c r="D20" t="s">
        <v>45</v>
      </c>
      <c r="E20" t="s">
        <v>47</v>
      </c>
    </row>
    <row r="21" spans="1:5" x14ac:dyDescent="0.15">
      <c r="A21" s="4">
        <v>40876</v>
      </c>
      <c r="B21">
        <v>440.06509999999997</v>
      </c>
      <c r="C21" t="s">
        <v>43</v>
      </c>
      <c r="D21" t="s">
        <v>45</v>
      </c>
      <c r="E21" t="s">
        <v>47</v>
      </c>
    </row>
    <row r="22" spans="1:5" x14ac:dyDescent="0.15">
      <c r="A22" s="4">
        <v>40523</v>
      </c>
      <c r="B22">
        <v>415.15570000000002</v>
      </c>
      <c r="C22" t="s">
        <v>43</v>
      </c>
      <c r="D22" t="s">
        <v>45</v>
      </c>
      <c r="E22" t="s">
        <v>47</v>
      </c>
    </row>
    <row r="23" spans="1:5" x14ac:dyDescent="0.15">
      <c r="A23" s="4">
        <v>40183</v>
      </c>
      <c r="B23">
        <v>388.00029999999998</v>
      </c>
      <c r="C23" t="s">
        <v>43</v>
      </c>
      <c r="D23" t="s">
        <v>45</v>
      </c>
      <c r="E23" t="s">
        <v>47</v>
      </c>
    </row>
    <row r="24" spans="1:5" x14ac:dyDescent="0.15">
      <c r="A24" s="4">
        <v>39939</v>
      </c>
      <c r="B24">
        <v>356.29039999999998</v>
      </c>
      <c r="C24" t="s">
        <v>43</v>
      </c>
      <c r="D24" t="s">
        <v>45</v>
      </c>
      <c r="E24" t="s">
        <v>47</v>
      </c>
    </row>
    <row r="25" spans="1:5" x14ac:dyDescent="0.15">
      <c r="A25" s="4">
        <v>39787</v>
      </c>
      <c r="B25">
        <v>324.07709999999997</v>
      </c>
      <c r="C25" t="s">
        <v>43</v>
      </c>
      <c r="D25" t="s">
        <v>45</v>
      </c>
      <c r="E25" t="s">
        <v>47</v>
      </c>
    </row>
    <row r="26" spans="1:5" x14ac:dyDescent="0.15">
      <c r="A26" s="4">
        <v>39451</v>
      </c>
      <c r="B26">
        <v>311.61270000000002</v>
      </c>
      <c r="C26" t="s">
        <v>43</v>
      </c>
      <c r="D26" t="s">
        <v>45</v>
      </c>
      <c r="E26" t="s">
        <v>47</v>
      </c>
    </row>
    <row r="27" spans="1:5" x14ac:dyDescent="0.15">
      <c r="A27" s="4">
        <v>39085</v>
      </c>
      <c r="B27">
        <v>283.54199999999997</v>
      </c>
      <c r="C27" t="s">
        <v>43</v>
      </c>
      <c r="D27" t="s">
        <v>45</v>
      </c>
      <c r="E27" t="s">
        <v>47</v>
      </c>
    </row>
    <row r="28" spans="1:5" x14ac:dyDescent="0.15">
      <c r="A28" s="4">
        <v>38715</v>
      </c>
      <c r="B28">
        <v>258</v>
      </c>
      <c r="C28" t="s">
        <v>43</v>
      </c>
      <c r="D28" t="s">
        <v>45</v>
      </c>
      <c r="E28" t="s">
        <v>47</v>
      </c>
    </row>
    <row r="29" spans="1:5" x14ac:dyDescent="0.15">
      <c r="A29" s="4">
        <v>45474</v>
      </c>
      <c r="B29">
        <v>1069.8599999999999</v>
      </c>
      <c r="C29" t="s">
        <v>53</v>
      </c>
      <c r="D29" t="s">
        <v>45</v>
      </c>
      <c r="E29" t="s">
        <v>54</v>
      </c>
    </row>
    <row r="30" spans="1:5" x14ac:dyDescent="0.15">
      <c r="A30" s="4">
        <v>44562</v>
      </c>
      <c r="B30">
        <v>999.86928999999998</v>
      </c>
      <c r="C30" t="s">
        <v>53</v>
      </c>
      <c r="D30" t="s">
        <v>45</v>
      </c>
      <c r="E30" t="s">
        <v>54</v>
      </c>
    </row>
    <row r="31" spans="1:5" x14ac:dyDescent="0.15">
      <c r="A31" s="4">
        <v>44197</v>
      </c>
      <c r="B31">
        <v>956.81286</v>
      </c>
      <c r="C31" t="s">
        <v>53</v>
      </c>
      <c r="D31" t="s">
        <v>45</v>
      </c>
      <c r="E31" t="s">
        <v>54</v>
      </c>
    </row>
    <row r="32" spans="1:5" x14ac:dyDescent="0.15">
      <c r="A32" s="4">
        <v>43831</v>
      </c>
      <c r="B32">
        <v>915.61036000000001</v>
      </c>
      <c r="C32" t="s">
        <v>53</v>
      </c>
      <c r="D32" t="s">
        <v>45</v>
      </c>
      <c r="E32" t="s">
        <v>54</v>
      </c>
    </row>
    <row r="33" spans="1:5" x14ac:dyDescent="0.15">
      <c r="A33" s="4">
        <v>43468</v>
      </c>
      <c r="B33">
        <v>863.78321000000005</v>
      </c>
      <c r="C33" t="s">
        <v>53</v>
      </c>
      <c r="D33" t="s">
        <v>45</v>
      </c>
      <c r="E33" t="s">
        <v>54</v>
      </c>
    </row>
    <row r="34" spans="1:5" x14ac:dyDescent="0.15">
      <c r="A34" s="4">
        <v>43291</v>
      </c>
      <c r="B34">
        <v>834.57285999999999</v>
      </c>
      <c r="C34" t="s">
        <v>53</v>
      </c>
      <c r="D34" t="s">
        <v>45</v>
      </c>
      <c r="E34" t="s">
        <v>54</v>
      </c>
    </row>
    <row r="35" spans="1:5" x14ac:dyDescent="0.15">
      <c r="A35" s="4">
        <v>43028</v>
      </c>
      <c r="B35">
        <v>794.83178999999996</v>
      </c>
      <c r="C35" t="s">
        <v>53</v>
      </c>
      <c r="D35" t="s">
        <v>45</v>
      </c>
      <c r="E35" t="s">
        <v>54</v>
      </c>
    </row>
    <row r="36" spans="1:5" x14ac:dyDescent="0.15">
      <c r="A36" s="4">
        <v>42927</v>
      </c>
      <c r="B36">
        <v>729.20321000000001</v>
      </c>
      <c r="C36" t="s">
        <v>53</v>
      </c>
      <c r="D36" t="s">
        <v>45</v>
      </c>
      <c r="E36" t="s">
        <v>54</v>
      </c>
    </row>
    <row r="37" spans="1:5" x14ac:dyDescent="0.15">
      <c r="A37" s="4">
        <v>42746</v>
      </c>
      <c r="B37">
        <v>716.66143</v>
      </c>
      <c r="C37" t="s">
        <v>53</v>
      </c>
      <c r="D37" t="s">
        <v>45</v>
      </c>
      <c r="E37" t="s">
        <v>54</v>
      </c>
    </row>
    <row r="38" spans="1:5" x14ac:dyDescent="0.15">
      <c r="A38" s="4">
        <v>42602</v>
      </c>
      <c r="B38">
        <v>663.57570999999996</v>
      </c>
      <c r="C38" t="s">
        <v>53</v>
      </c>
      <c r="D38" t="s">
        <v>45</v>
      </c>
      <c r="E38" t="s">
        <v>54</v>
      </c>
    </row>
    <row r="39" spans="1:5" x14ac:dyDescent="0.15">
      <c r="A39" s="4">
        <v>42439</v>
      </c>
      <c r="B39">
        <v>644.24820999999997</v>
      </c>
      <c r="C39" t="s">
        <v>53</v>
      </c>
      <c r="D39" t="s">
        <v>45</v>
      </c>
      <c r="E39" t="s">
        <v>54</v>
      </c>
    </row>
    <row r="40" spans="1:5" x14ac:dyDescent="0.15">
      <c r="A40" s="4">
        <v>42279</v>
      </c>
      <c r="B40">
        <v>603.22892999999999</v>
      </c>
      <c r="C40" t="s">
        <v>53</v>
      </c>
      <c r="D40" t="s">
        <v>45</v>
      </c>
      <c r="E40" t="s">
        <v>54</v>
      </c>
    </row>
    <row r="41" spans="1:5" x14ac:dyDescent="0.15">
      <c r="A41" s="4">
        <v>42180</v>
      </c>
      <c r="B41">
        <v>580.02786000000003</v>
      </c>
      <c r="C41" t="s">
        <v>53</v>
      </c>
      <c r="D41" t="s">
        <v>45</v>
      </c>
      <c r="E41" t="s">
        <v>54</v>
      </c>
    </row>
    <row r="42" spans="1:5" x14ac:dyDescent="0.15">
      <c r="A42" s="4">
        <v>41996</v>
      </c>
      <c r="B42">
        <v>563.13392999999996</v>
      </c>
      <c r="C42" t="s">
        <v>53</v>
      </c>
      <c r="D42" t="s">
        <v>45</v>
      </c>
      <c r="E42" t="s">
        <v>54</v>
      </c>
    </row>
    <row r="43" spans="1:5" x14ac:dyDescent="0.15">
      <c r="A43" s="4">
        <v>41885</v>
      </c>
      <c r="B43">
        <v>546.73213999999996</v>
      </c>
      <c r="C43" t="s">
        <v>53</v>
      </c>
      <c r="D43" t="s">
        <v>45</v>
      </c>
      <c r="E43" t="s">
        <v>54</v>
      </c>
    </row>
    <row r="44" spans="1:5" x14ac:dyDescent="0.15">
      <c r="A44" s="4">
        <v>41704</v>
      </c>
      <c r="B44">
        <v>514.67214000000001</v>
      </c>
      <c r="C44" t="s">
        <v>53</v>
      </c>
      <c r="D44" t="s">
        <v>45</v>
      </c>
      <c r="E44" t="s">
        <v>54</v>
      </c>
    </row>
    <row r="45" spans="1:5" x14ac:dyDescent="0.15">
      <c r="A45" s="4">
        <v>41548</v>
      </c>
      <c r="B45">
        <v>494.87714</v>
      </c>
      <c r="C45" t="s">
        <v>53</v>
      </c>
      <c r="D45" t="s">
        <v>45</v>
      </c>
      <c r="E45" t="s">
        <v>54</v>
      </c>
    </row>
    <row r="46" spans="1:5" x14ac:dyDescent="0.15">
      <c r="A46" s="4">
        <v>41363</v>
      </c>
      <c r="B46">
        <v>480.46321</v>
      </c>
      <c r="C46" t="s">
        <v>53</v>
      </c>
      <c r="D46" t="s">
        <v>45</v>
      </c>
      <c r="E46" t="s">
        <v>54</v>
      </c>
    </row>
    <row r="47" spans="1:5" x14ac:dyDescent="0.15">
      <c r="A47" s="4">
        <v>41214</v>
      </c>
      <c r="B47">
        <v>466.46929</v>
      </c>
      <c r="C47" t="s">
        <v>53</v>
      </c>
      <c r="D47" t="s">
        <v>45</v>
      </c>
      <c r="E47" t="s">
        <v>54</v>
      </c>
    </row>
    <row r="48" spans="1:5" x14ac:dyDescent="0.15">
      <c r="A48" s="4">
        <v>40876</v>
      </c>
      <c r="B48">
        <v>440.06536</v>
      </c>
      <c r="C48" t="s">
        <v>53</v>
      </c>
      <c r="D48" t="s">
        <v>45</v>
      </c>
      <c r="E48" t="s">
        <v>54</v>
      </c>
    </row>
    <row r="49" spans="1:5" x14ac:dyDescent="0.15">
      <c r="A49" s="4">
        <v>40523</v>
      </c>
      <c r="B49">
        <v>415.15571</v>
      </c>
      <c r="C49" t="s">
        <v>53</v>
      </c>
      <c r="D49" t="s">
        <v>45</v>
      </c>
      <c r="E49" t="s">
        <v>54</v>
      </c>
    </row>
    <row r="50" spans="1:5" x14ac:dyDescent="0.15">
      <c r="A50" s="4">
        <v>40183</v>
      </c>
      <c r="B50">
        <v>387.99786</v>
      </c>
      <c r="C50" t="s">
        <v>53</v>
      </c>
      <c r="D50" t="s">
        <v>45</v>
      </c>
      <c r="E50" t="s">
        <v>54</v>
      </c>
    </row>
    <row r="51" spans="1:5" x14ac:dyDescent="0.15">
      <c r="A51" s="4">
        <v>39939</v>
      </c>
      <c r="B51">
        <v>356.28820999999999</v>
      </c>
      <c r="C51" t="s">
        <v>53</v>
      </c>
      <c r="D51" t="s">
        <v>45</v>
      </c>
      <c r="E51" t="s">
        <v>54</v>
      </c>
    </row>
    <row r="52" spans="1:5" x14ac:dyDescent="0.15">
      <c r="A52" s="4">
        <v>39904</v>
      </c>
      <c r="B52">
        <v>324.07213999999999</v>
      </c>
      <c r="C52" t="s">
        <v>53</v>
      </c>
      <c r="D52" t="s">
        <v>45</v>
      </c>
      <c r="E52" t="s">
        <v>54</v>
      </c>
    </row>
    <row r="53" spans="1:5" x14ac:dyDescent="0.15">
      <c r="A53" s="4">
        <v>45474</v>
      </c>
      <c r="B53">
        <v>1069.86095</v>
      </c>
      <c r="C53" t="s">
        <v>58</v>
      </c>
      <c r="D53" t="s">
        <v>59</v>
      </c>
      <c r="E53" t="s">
        <v>60</v>
      </c>
    </row>
    <row r="54" spans="1:5" x14ac:dyDescent="0.15">
      <c r="A54" s="4">
        <v>44562</v>
      </c>
      <c r="B54">
        <v>999.87048000000004</v>
      </c>
      <c r="C54" t="s">
        <v>58</v>
      </c>
      <c r="D54" t="s">
        <v>59</v>
      </c>
      <c r="E54" t="s">
        <v>60</v>
      </c>
    </row>
    <row r="55" spans="1:5" x14ac:dyDescent="0.15">
      <c r="A55" s="4">
        <v>44197</v>
      </c>
      <c r="B55">
        <v>956.81380999999999</v>
      </c>
      <c r="C55" t="s">
        <v>58</v>
      </c>
      <c r="D55" t="s">
        <v>59</v>
      </c>
      <c r="E55" t="s">
        <v>60</v>
      </c>
    </row>
    <row r="56" spans="1:5" x14ac:dyDescent="0.15">
      <c r="A56" s="4">
        <v>43831</v>
      </c>
      <c r="B56">
        <v>915.61143000000004</v>
      </c>
      <c r="C56" t="s">
        <v>58</v>
      </c>
      <c r="D56" t="s">
        <v>59</v>
      </c>
      <c r="E56" t="s">
        <v>60</v>
      </c>
    </row>
    <row r="57" spans="1:5" x14ac:dyDescent="0.15">
      <c r="A57" s="4">
        <v>43468</v>
      </c>
      <c r="B57">
        <v>863.78476000000001</v>
      </c>
      <c r="C57" t="s">
        <v>58</v>
      </c>
      <c r="D57" t="s">
        <v>59</v>
      </c>
      <c r="E57" t="s">
        <v>60</v>
      </c>
    </row>
    <row r="58" spans="1:5" x14ac:dyDescent="0.15">
      <c r="A58" s="4">
        <v>43291</v>
      </c>
      <c r="B58">
        <v>834.57429000000002</v>
      </c>
      <c r="C58" t="s">
        <v>58</v>
      </c>
      <c r="D58" t="s">
        <v>59</v>
      </c>
      <c r="E58" t="s">
        <v>60</v>
      </c>
    </row>
    <row r="59" spans="1:5" x14ac:dyDescent="0.15">
      <c r="A59" s="4">
        <v>43028</v>
      </c>
      <c r="B59">
        <v>794.83237999999994</v>
      </c>
      <c r="C59" t="s">
        <v>58</v>
      </c>
      <c r="D59" t="s">
        <v>59</v>
      </c>
      <c r="E59" t="s">
        <v>60</v>
      </c>
    </row>
    <row r="60" spans="1:5" x14ac:dyDescent="0.15">
      <c r="A60" s="4">
        <v>42927</v>
      </c>
      <c r="B60">
        <v>729.20380999999998</v>
      </c>
      <c r="C60" t="s">
        <v>58</v>
      </c>
      <c r="D60" t="s">
        <v>59</v>
      </c>
      <c r="E60" t="s">
        <v>60</v>
      </c>
    </row>
    <row r="61" spans="1:5" x14ac:dyDescent="0.15">
      <c r="A61" s="4">
        <v>42746</v>
      </c>
      <c r="B61">
        <v>716.66237999999998</v>
      </c>
      <c r="C61" t="s">
        <v>58</v>
      </c>
      <c r="D61" t="s">
        <v>59</v>
      </c>
      <c r="E61" t="s">
        <v>60</v>
      </c>
    </row>
    <row r="62" spans="1:5" x14ac:dyDescent="0.15">
      <c r="A62" s="4">
        <v>42602</v>
      </c>
      <c r="B62">
        <v>663.57619</v>
      </c>
      <c r="C62" t="s">
        <v>58</v>
      </c>
      <c r="D62" t="s">
        <v>59</v>
      </c>
      <c r="E62" t="s">
        <v>60</v>
      </c>
    </row>
    <row r="63" spans="1:5" x14ac:dyDescent="0.15">
      <c r="A63" s="4">
        <v>42439</v>
      </c>
      <c r="B63">
        <v>644.24856999999997</v>
      </c>
      <c r="C63" t="s">
        <v>58</v>
      </c>
      <c r="D63" t="s">
        <v>59</v>
      </c>
      <c r="E63" t="s">
        <v>60</v>
      </c>
    </row>
    <row r="64" spans="1:5" x14ac:dyDescent="0.15">
      <c r="A64" s="4">
        <v>42279</v>
      </c>
      <c r="B64">
        <v>603.22905000000003</v>
      </c>
      <c r="C64" t="s">
        <v>58</v>
      </c>
      <c r="D64" t="s">
        <v>59</v>
      </c>
      <c r="E64" t="s">
        <v>60</v>
      </c>
    </row>
    <row r="65" spans="1:5" x14ac:dyDescent="0.15">
      <c r="A65" s="4">
        <v>42180</v>
      </c>
      <c r="B65">
        <v>580.02809999999999</v>
      </c>
      <c r="C65" t="s">
        <v>58</v>
      </c>
      <c r="D65" t="s">
        <v>59</v>
      </c>
      <c r="E65" t="s">
        <v>60</v>
      </c>
    </row>
    <row r="66" spans="1:5" x14ac:dyDescent="0.15">
      <c r="A66" s="4">
        <v>41996</v>
      </c>
      <c r="B66">
        <v>563.13381000000004</v>
      </c>
      <c r="C66" t="s">
        <v>58</v>
      </c>
      <c r="D66" t="s">
        <v>59</v>
      </c>
      <c r="E66" t="s">
        <v>60</v>
      </c>
    </row>
    <row r="67" spans="1:5" x14ac:dyDescent="0.15">
      <c r="A67" s="4">
        <v>41885</v>
      </c>
      <c r="B67">
        <v>546.7319</v>
      </c>
      <c r="C67" t="s">
        <v>58</v>
      </c>
      <c r="D67" t="s">
        <v>59</v>
      </c>
      <c r="E67" t="s">
        <v>60</v>
      </c>
    </row>
    <row r="68" spans="1:5" x14ac:dyDescent="0.15">
      <c r="A68" s="4">
        <v>41704</v>
      </c>
      <c r="B68">
        <v>530.81429000000003</v>
      </c>
      <c r="C68" t="s">
        <v>58</v>
      </c>
      <c r="D68" t="s">
        <v>59</v>
      </c>
      <c r="E68" t="s">
        <v>60</v>
      </c>
    </row>
    <row r="69" spans="1:5" x14ac:dyDescent="0.15">
      <c r="A69" s="4">
        <v>41548</v>
      </c>
      <c r="B69">
        <v>510.3981</v>
      </c>
      <c r="C69" t="s">
        <v>58</v>
      </c>
      <c r="D69" t="s">
        <v>59</v>
      </c>
      <c r="E69" t="s">
        <v>60</v>
      </c>
    </row>
    <row r="70" spans="1:5" x14ac:dyDescent="0.15">
      <c r="A70" s="4">
        <v>41443</v>
      </c>
      <c r="B70">
        <v>495.53237999999999</v>
      </c>
      <c r="C70" t="s">
        <v>58</v>
      </c>
      <c r="D70" t="s">
        <v>59</v>
      </c>
      <c r="E70" t="s">
        <v>60</v>
      </c>
    </row>
    <row r="71" spans="1:5" x14ac:dyDescent="0.15">
      <c r="A71" s="4">
        <v>45474</v>
      </c>
      <c r="B71">
        <v>1069.8607999999999</v>
      </c>
      <c r="C71" t="s">
        <v>64</v>
      </c>
      <c r="D71" t="s">
        <v>59</v>
      </c>
      <c r="E71" t="s">
        <v>47</v>
      </c>
    </row>
    <row r="72" spans="1:5" x14ac:dyDescent="0.15">
      <c r="A72" s="4">
        <v>44562</v>
      </c>
      <c r="B72">
        <v>999.86990000000003</v>
      </c>
      <c r="C72" t="s">
        <v>64</v>
      </c>
      <c r="D72" t="s">
        <v>59</v>
      </c>
      <c r="E72" t="s">
        <v>47</v>
      </c>
    </row>
    <row r="73" spans="1:5" x14ac:dyDescent="0.15">
      <c r="A73" s="4">
        <v>44197</v>
      </c>
      <c r="B73">
        <v>956.81330000000003</v>
      </c>
      <c r="C73" t="s">
        <v>64</v>
      </c>
      <c r="D73" t="s">
        <v>59</v>
      </c>
      <c r="E73" t="s">
        <v>47</v>
      </c>
    </row>
    <row r="74" spans="1:5" x14ac:dyDescent="0.15">
      <c r="A74" s="4">
        <v>43831</v>
      </c>
      <c r="B74">
        <v>915.61080000000004</v>
      </c>
      <c r="C74" t="s">
        <v>64</v>
      </c>
      <c r="D74" t="s">
        <v>59</v>
      </c>
      <c r="E74" t="s">
        <v>47</v>
      </c>
    </row>
    <row r="75" spans="1:5" x14ac:dyDescent="0.15">
      <c r="A75" s="4">
        <v>43468</v>
      </c>
      <c r="B75">
        <v>863.78380000000004</v>
      </c>
      <c r="C75" t="s">
        <v>64</v>
      </c>
      <c r="D75" t="s">
        <v>59</v>
      </c>
      <c r="E75" t="s">
        <v>47</v>
      </c>
    </row>
    <row r="76" spans="1:5" x14ac:dyDescent="0.15">
      <c r="A76" s="4">
        <v>43291</v>
      </c>
      <c r="B76">
        <v>834.57380000000001</v>
      </c>
      <c r="C76" t="s">
        <v>64</v>
      </c>
      <c r="D76" t="s">
        <v>59</v>
      </c>
      <c r="E76" t="s">
        <v>47</v>
      </c>
    </row>
    <row r="77" spans="1:5" x14ac:dyDescent="0.15">
      <c r="A77" s="4">
        <v>43028</v>
      </c>
      <c r="B77">
        <v>794.83209999999997</v>
      </c>
      <c r="C77" t="s">
        <v>64</v>
      </c>
      <c r="D77" t="s">
        <v>59</v>
      </c>
      <c r="E77" t="s">
        <v>47</v>
      </c>
    </row>
    <row r="78" spans="1:5" x14ac:dyDescent="0.15">
      <c r="A78" s="4">
        <v>42927</v>
      </c>
      <c r="B78">
        <v>729.2038</v>
      </c>
      <c r="C78" t="s">
        <v>64</v>
      </c>
      <c r="D78" t="s">
        <v>59</v>
      </c>
      <c r="E78" t="s">
        <v>47</v>
      </c>
    </row>
    <row r="79" spans="1:5" x14ac:dyDescent="0.15">
      <c r="A79" s="4">
        <v>42746</v>
      </c>
      <c r="B79">
        <v>716.66219999999998</v>
      </c>
      <c r="C79" t="s">
        <v>64</v>
      </c>
      <c r="D79" t="s">
        <v>59</v>
      </c>
      <c r="E79" t="s">
        <v>47</v>
      </c>
    </row>
    <row r="80" spans="1:5" x14ac:dyDescent="0.15">
      <c r="A80" s="4">
        <v>42602</v>
      </c>
      <c r="B80">
        <v>663.57619999999997</v>
      </c>
      <c r="C80" t="s">
        <v>64</v>
      </c>
      <c r="D80" t="s">
        <v>59</v>
      </c>
      <c r="E80" t="s">
        <v>47</v>
      </c>
    </row>
    <row r="81" spans="1:5" x14ac:dyDescent="0.15">
      <c r="A81" s="4">
        <v>42439</v>
      </c>
      <c r="B81">
        <v>644.24869999999999</v>
      </c>
      <c r="C81" t="s">
        <v>64</v>
      </c>
      <c r="D81" t="s">
        <v>59</v>
      </c>
      <c r="E81" t="s">
        <v>47</v>
      </c>
    </row>
    <row r="82" spans="1:5" x14ac:dyDescent="0.15">
      <c r="A82" s="4">
        <v>42279</v>
      </c>
      <c r="B82">
        <v>603.22910000000002</v>
      </c>
      <c r="C82" t="s">
        <v>64</v>
      </c>
      <c r="D82" t="s">
        <v>59</v>
      </c>
      <c r="E82" t="s">
        <v>47</v>
      </c>
    </row>
    <row r="83" spans="1:5" x14ac:dyDescent="0.15">
      <c r="A83" s="4">
        <v>42180</v>
      </c>
      <c r="B83">
        <v>580.02790000000005</v>
      </c>
      <c r="C83" t="s">
        <v>64</v>
      </c>
      <c r="D83" t="s">
        <v>59</v>
      </c>
      <c r="E83" t="s">
        <v>47</v>
      </c>
    </row>
    <row r="84" spans="1:5" x14ac:dyDescent="0.15">
      <c r="A84" s="4">
        <v>41996</v>
      </c>
      <c r="B84">
        <v>563.13390000000004</v>
      </c>
      <c r="C84" t="s">
        <v>64</v>
      </c>
      <c r="D84" t="s">
        <v>59</v>
      </c>
      <c r="E84" t="s">
        <v>47</v>
      </c>
    </row>
    <row r="85" spans="1:5" x14ac:dyDescent="0.15">
      <c r="A85" s="4">
        <v>41885</v>
      </c>
      <c r="B85">
        <v>546.73199999999997</v>
      </c>
      <c r="C85" t="s">
        <v>64</v>
      </c>
      <c r="D85" t="s">
        <v>59</v>
      </c>
      <c r="E85" t="s">
        <v>47</v>
      </c>
    </row>
    <row r="86" spans="1:5" x14ac:dyDescent="0.15">
      <c r="A86" s="4">
        <v>41704</v>
      </c>
      <c r="B86">
        <v>530.81380000000001</v>
      </c>
      <c r="C86" t="s">
        <v>64</v>
      </c>
      <c r="D86" t="s">
        <v>59</v>
      </c>
      <c r="E86" t="s">
        <v>47</v>
      </c>
    </row>
    <row r="87" spans="1:5" x14ac:dyDescent="0.15">
      <c r="A87" s="4">
        <v>41548</v>
      </c>
      <c r="B87">
        <v>510.39780000000002</v>
      </c>
      <c r="C87" t="s">
        <v>64</v>
      </c>
      <c r="D87" t="s">
        <v>59</v>
      </c>
      <c r="E87" t="s">
        <v>47</v>
      </c>
    </row>
    <row r="88" spans="1:5" x14ac:dyDescent="0.15">
      <c r="A88" s="4">
        <v>41443</v>
      </c>
      <c r="B88">
        <v>495.53179999999998</v>
      </c>
      <c r="C88" t="s">
        <v>64</v>
      </c>
      <c r="D88" t="s">
        <v>59</v>
      </c>
      <c r="E88" t="s">
        <v>47</v>
      </c>
    </row>
    <row r="89" spans="1:5" x14ac:dyDescent="0.15">
      <c r="A89" s="4">
        <v>45474</v>
      </c>
      <c r="B89">
        <v>1069.8607999999999</v>
      </c>
      <c r="C89" t="s">
        <v>66</v>
      </c>
      <c r="D89" t="s">
        <v>67</v>
      </c>
      <c r="E89" t="s">
        <v>47</v>
      </c>
    </row>
    <row r="90" spans="1:5" x14ac:dyDescent="0.15">
      <c r="A90" s="4">
        <v>44562</v>
      </c>
      <c r="B90">
        <v>999.86990000000003</v>
      </c>
      <c r="C90" t="s">
        <v>66</v>
      </c>
      <c r="D90" t="s">
        <v>67</v>
      </c>
      <c r="E90" t="s">
        <v>47</v>
      </c>
    </row>
    <row r="91" spans="1:5" x14ac:dyDescent="0.15">
      <c r="A91" s="4">
        <v>44197</v>
      </c>
      <c r="B91">
        <v>956.81330000000003</v>
      </c>
      <c r="C91" t="s">
        <v>66</v>
      </c>
      <c r="D91" t="s">
        <v>67</v>
      </c>
      <c r="E91" t="s">
        <v>47</v>
      </c>
    </row>
    <row r="92" spans="1:5" x14ac:dyDescent="0.15">
      <c r="A92" s="4">
        <v>43831</v>
      </c>
      <c r="B92">
        <v>915.61080000000004</v>
      </c>
      <c r="C92" t="s">
        <v>66</v>
      </c>
      <c r="D92" t="s">
        <v>67</v>
      </c>
      <c r="E92" t="s">
        <v>47</v>
      </c>
    </row>
    <row r="93" spans="1:5" x14ac:dyDescent="0.15">
      <c r="A93" s="4">
        <v>43468</v>
      </c>
      <c r="B93">
        <v>863.78380000000004</v>
      </c>
      <c r="C93" t="s">
        <v>66</v>
      </c>
      <c r="D93" t="s">
        <v>67</v>
      </c>
      <c r="E93" t="s">
        <v>47</v>
      </c>
    </row>
    <row r="94" spans="1:5" x14ac:dyDescent="0.15">
      <c r="A94" s="4">
        <v>43291</v>
      </c>
      <c r="B94">
        <v>834.57380000000001</v>
      </c>
      <c r="C94" t="s">
        <v>66</v>
      </c>
      <c r="D94" t="s">
        <v>67</v>
      </c>
      <c r="E94" t="s">
        <v>47</v>
      </c>
    </row>
    <row r="95" spans="1:5" x14ac:dyDescent="0.15">
      <c r="A95" s="4">
        <v>43028</v>
      </c>
      <c r="B95">
        <v>794.83209999999997</v>
      </c>
      <c r="C95" t="s">
        <v>66</v>
      </c>
      <c r="D95" t="s">
        <v>67</v>
      </c>
      <c r="E95" t="s">
        <v>47</v>
      </c>
    </row>
    <row r="96" spans="1:5" x14ac:dyDescent="0.15">
      <c r="A96" s="4">
        <v>42927</v>
      </c>
      <c r="B96">
        <v>729.2038</v>
      </c>
      <c r="C96" t="s">
        <v>66</v>
      </c>
      <c r="D96" t="s">
        <v>67</v>
      </c>
      <c r="E96" t="s">
        <v>47</v>
      </c>
    </row>
    <row r="97" spans="1:5" x14ac:dyDescent="0.15">
      <c r="A97" s="4">
        <v>42746</v>
      </c>
      <c r="B97">
        <v>716.66219999999998</v>
      </c>
      <c r="C97" t="s">
        <v>66</v>
      </c>
      <c r="D97" t="s">
        <v>67</v>
      </c>
      <c r="E97" t="s">
        <v>47</v>
      </c>
    </row>
    <row r="98" spans="1:5" x14ac:dyDescent="0.15">
      <c r="A98" s="4">
        <v>42602</v>
      </c>
      <c r="B98">
        <v>663.57619999999997</v>
      </c>
      <c r="C98" t="s">
        <v>66</v>
      </c>
      <c r="D98" t="s">
        <v>67</v>
      </c>
      <c r="E98" t="s">
        <v>47</v>
      </c>
    </row>
    <row r="99" spans="1:5" x14ac:dyDescent="0.15">
      <c r="A99" s="4">
        <v>42439</v>
      </c>
      <c r="B99">
        <v>644.24869999999999</v>
      </c>
      <c r="C99" t="s">
        <v>66</v>
      </c>
      <c r="D99" t="s">
        <v>67</v>
      </c>
      <c r="E99" t="s">
        <v>47</v>
      </c>
    </row>
    <row r="100" spans="1:5" x14ac:dyDescent="0.15">
      <c r="A100" s="4">
        <v>42279</v>
      </c>
      <c r="B100">
        <v>603.22910000000002</v>
      </c>
      <c r="C100" t="s">
        <v>66</v>
      </c>
      <c r="D100" t="s">
        <v>67</v>
      </c>
      <c r="E100" t="s">
        <v>47</v>
      </c>
    </row>
    <row r="101" spans="1:5" x14ac:dyDescent="0.15">
      <c r="A101" s="4">
        <v>42180</v>
      </c>
      <c r="B101">
        <v>580.02790000000005</v>
      </c>
      <c r="C101" t="s">
        <v>66</v>
      </c>
      <c r="D101" t="s">
        <v>67</v>
      </c>
      <c r="E101" t="s">
        <v>47</v>
      </c>
    </row>
    <row r="102" spans="1:5" x14ac:dyDescent="0.15">
      <c r="A102" s="4">
        <v>41996</v>
      </c>
      <c r="B102">
        <v>563.13390000000004</v>
      </c>
      <c r="C102" t="s">
        <v>66</v>
      </c>
      <c r="D102" t="s">
        <v>67</v>
      </c>
      <c r="E102" t="s">
        <v>47</v>
      </c>
    </row>
    <row r="103" spans="1:5" x14ac:dyDescent="0.15">
      <c r="A103" s="4">
        <v>41885</v>
      </c>
      <c r="B103">
        <v>546.73199999999997</v>
      </c>
      <c r="C103" t="s">
        <v>66</v>
      </c>
      <c r="D103" t="s">
        <v>67</v>
      </c>
      <c r="E103" t="s">
        <v>47</v>
      </c>
    </row>
    <row r="104" spans="1:5" x14ac:dyDescent="0.15">
      <c r="A104" s="4">
        <v>41704</v>
      </c>
      <c r="B104">
        <v>514.6721</v>
      </c>
      <c r="C104" t="s">
        <v>66</v>
      </c>
      <c r="D104" t="s">
        <v>67</v>
      </c>
      <c r="E104" t="s">
        <v>47</v>
      </c>
    </row>
    <row r="105" spans="1:5" x14ac:dyDescent="0.15">
      <c r="A105" s="4">
        <v>41548</v>
      </c>
      <c r="B105">
        <v>494.87700000000001</v>
      </c>
      <c r="C105" t="s">
        <v>66</v>
      </c>
      <c r="D105" t="s">
        <v>67</v>
      </c>
      <c r="E105" t="s">
        <v>47</v>
      </c>
    </row>
    <row r="106" spans="1:5" x14ac:dyDescent="0.15">
      <c r="A106" s="4">
        <v>41363</v>
      </c>
      <c r="B106">
        <v>480.4631</v>
      </c>
      <c r="C106" t="s">
        <v>66</v>
      </c>
      <c r="D106" t="s">
        <v>67</v>
      </c>
      <c r="E106" t="s">
        <v>47</v>
      </c>
    </row>
    <row r="107" spans="1:5" x14ac:dyDescent="0.15">
      <c r="A107" s="4">
        <v>41214</v>
      </c>
      <c r="B107">
        <v>466.46910000000003</v>
      </c>
      <c r="C107" t="s">
        <v>66</v>
      </c>
      <c r="D107" t="s">
        <v>67</v>
      </c>
      <c r="E107" t="s">
        <v>47</v>
      </c>
    </row>
    <row r="108" spans="1:5" x14ac:dyDescent="0.15">
      <c r="A108" s="4">
        <v>41015</v>
      </c>
      <c r="B108">
        <v>440.06509999999997</v>
      </c>
      <c r="C108" t="s">
        <v>66</v>
      </c>
      <c r="D108" t="s">
        <v>67</v>
      </c>
      <c r="E108" t="s">
        <v>47</v>
      </c>
    </row>
    <row r="109" spans="1:5" x14ac:dyDescent="0.15">
      <c r="A109" s="4">
        <v>45474</v>
      </c>
      <c r="B109">
        <v>1069.8599999999999</v>
      </c>
      <c r="C109" t="s">
        <v>68</v>
      </c>
      <c r="D109" t="s">
        <v>67</v>
      </c>
      <c r="E109" t="s">
        <v>54</v>
      </c>
    </row>
    <row r="110" spans="1:5" x14ac:dyDescent="0.15">
      <c r="A110" s="4">
        <v>44562</v>
      </c>
      <c r="B110">
        <v>999.86928999999998</v>
      </c>
      <c r="C110" t="s">
        <v>68</v>
      </c>
      <c r="D110" t="s">
        <v>67</v>
      </c>
      <c r="E110" t="s">
        <v>54</v>
      </c>
    </row>
    <row r="111" spans="1:5" x14ac:dyDescent="0.15">
      <c r="A111" s="4">
        <v>44197</v>
      </c>
      <c r="B111">
        <v>956.81286</v>
      </c>
      <c r="C111" t="s">
        <v>68</v>
      </c>
      <c r="D111" t="s">
        <v>67</v>
      </c>
      <c r="E111" t="s">
        <v>54</v>
      </c>
    </row>
    <row r="112" spans="1:5" x14ac:dyDescent="0.15">
      <c r="A112" s="4">
        <v>43831</v>
      </c>
      <c r="B112">
        <v>915.61036000000001</v>
      </c>
      <c r="C112" t="s">
        <v>68</v>
      </c>
      <c r="D112" t="s">
        <v>67</v>
      </c>
      <c r="E112" t="s">
        <v>54</v>
      </c>
    </row>
    <row r="113" spans="1:5" x14ac:dyDescent="0.15">
      <c r="A113" s="4">
        <v>43468</v>
      </c>
      <c r="B113">
        <v>863.78321000000005</v>
      </c>
      <c r="C113" t="s">
        <v>68</v>
      </c>
      <c r="D113" t="s">
        <v>67</v>
      </c>
      <c r="E113" t="s">
        <v>54</v>
      </c>
    </row>
    <row r="114" spans="1:5" x14ac:dyDescent="0.15">
      <c r="A114" s="4">
        <v>43291</v>
      </c>
      <c r="B114">
        <v>834.57285999999999</v>
      </c>
      <c r="C114" t="s">
        <v>68</v>
      </c>
      <c r="D114" t="s">
        <v>67</v>
      </c>
      <c r="E114" t="s">
        <v>54</v>
      </c>
    </row>
    <row r="115" spans="1:5" x14ac:dyDescent="0.15">
      <c r="A115" s="4">
        <v>43028</v>
      </c>
      <c r="B115">
        <v>794.83178999999996</v>
      </c>
      <c r="C115" t="s">
        <v>68</v>
      </c>
      <c r="D115" t="s">
        <v>67</v>
      </c>
      <c r="E115" t="s">
        <v>54</v>
      </c>
    </row>
    <row r="116" spans="1:5" x14ac:dyDescent="0.15">
      <c r="A116" s="4">
        <v>42927</v>
      </c>
      <c r="B116">
        <v>729.20321000000001</v>
      </c>
      <c r="C116" t="s">
        <v>68</v>
      </c>
      <c r="D116" t="s">
        <v>67</v>
      </c>
      <c r="E116" t="s">
        <v>54</v>
      </c>
    </row>
    <row r="117" spans="1:5" x14ac:dyDescent="0.15">
      <c r="A117" s="4">
        <v>42746</v>
      </c>
      <c r="B117">
        <v>716.66143</v>
      </c>
      <c r="C117" t="s">
        <v>68</v>
      </c>
      <c r="D117" t="s">
        <v>67</v>
      </c>
      <c r="E117" t="s">
        <v>54</v>
      </c>
    </row>
    <row r="118" spans="1:5" x14ac:dyDescent="0.15">
      <c r="A118" s="4">
        <v>42602</v>
      </c>
      <c r="B118">
        <v>663.57570999999996</v>
      </c>
      <c r="C118" t="s">
        <v>68</v>
      </c>
      <c r="D118" t="s">
        <v>67</v>
      </c>
      <c r="E118" t="s">
        <v>54</v>
      </c>
    </row>
    <row r="119" spans="1:5" x14ac:dyDescent="0.15">
      <c r="A119" s="4">
        <v>42439</v>
      </c>
      <c r="B119">
        <v>644.24820999999997</v>
      </c>
      <c r="C119" t="s">
        <v>68</v>
      </c>
      <c r="D119" t="s">
        <v>67</v>
      </c>
      <c r="E119" t="s">
        <v>54</v>
      </c>
    </row>
    <row r="120" spans="1:5" x14ac:dyDescent="0.15">
      <c r="A120" s="4">
        <v>42279</v>
      </c>
      <c r="B120">
        <v>603.22892999999999</v>
      </c>
      <c r="C120" t="s">
        <v>68</v>
      </c>
      <c r="D120" t="s">
        <v>67</v>
      </c>
      <c r="E120" t="s">
        <v>54</v>
      </c>
    </row>
    <row r="121" spans="1:5" x14ac:dyDescent="0.15">
      <c r="A121" s="4">
        <v>42180</v>
      </c>
      <c r="B121">
        <v>580.02786000000003</v>
      </c>
      <c r="C121" t="s">
        <v>68</v>
      </c>
      <c r="D121" t="s">
        <v>67</v>
      </c>
      <c r="E121" t="s">
        <v>54</v>
      </c>
    </row>
    <row r="122" spans="1:5" x14ac:dyDescent="0.15">
      <c r="A122" s="4">
        <v>41996</v>
      </c>
      <c r="B122">
        <v>563.13392999999996</v>
      </c>
      <c r="C122" t="s">
        <v>68</v>
      </c>
      <c r="D122" t="s">
        <v>67</v>
      </c>
      <c r="E122" t="s">
        <v>54</v>
      </c>
    </row>
    <row r="123" spans="1:5" x14ac:dyDescent="0.15">
      <c r="A123" s="4">
        <v>41885</v>
      </c>
      <c r="B123">
        <v>546.73213999999996</v>
      </c>
      <c r="C123" t="s">
        <v>68</v>
      </c>
      <c r="D123" t="s">
        <v>67</v>
      </c>
      <c r="E123" t="s">
        <v>54</v>
      </c>
    </row>
    <row r="124" spans="1:5" x14ac:dyDescent="0.15">
      <c r="A124" s="4">
        <v>41704</v>
      </c>
      <c r="B124">
        <v>514.67214000000001</v>
      </c>
      <c r="C124" t="s">
        <v>68</v>
      </c>
      <c r="D124" t="s">
        <v>67</v>
      </c>
      <c r="E124" t="s">
        <v>54</v>
      </c>
    </row>
    <row r="125" spans="1:5" x14ac:dyDescent="0.15">
      <c r="A125" s="4">
        <v>41548</v>
      </c>
      <c r="B125">
        <v>494.87714</v>
      </c>
      <c r="C125" t="s">
        <v>68</v>
      </c>
      <c r="D125" t="s">
        <v>67</v>
      </c>
      <c r="E125" t="s">
        <v>54</v>
      </c>
    </row>
    <row r="126" spans="1:5" x14ac:dyDescent="0.15">
      <c r="A126" s="4">
        <v>41363</v>
      </c>
      <c r="B126">
        <v>480.46321</v>
      </c>
      <c r="C126" t="s">
        <v>68</v>
      </c>
      <c r="D126" t="s">
        <v>67</v>
      </c>
      <c r="E126" t="s">
        <v>54</v>
      </c>
    </row>
    <row r="127" spans="1:5" x14ac:dyDescent="0.15">
      <c r="A127" s="4">
        <v>41214</v>
      </c>
      <c r="B127">
        <v>466.46929</v>
      </c>
      <c r="C127" t="s">
        <v>68</v>
      </c>
      <c r="D127" t="s">
        <v>67</v>
      </c>
      <c r="E127" t="s">
        <v>54</v>
      </c>
    </row>
    <row r="128" spans="1:5" x14ac:dyDescent="0.15">
      <c r="A128" s="4">
        <v>41015</v>
      </c>
      <c r="B128">
        <v>440.06536</v>
      </c>
      <c r="C128" t="s">
        <v>68</v>
      </c>
      <c r="D128" t="s">
        <v>67</v>
      </c>
      <c r="E128" t="s">
        <v>54</v>
      </c>
    </row>
    <row r="129" spans="1:5" x14ac:dyDescent="0.15">
      <c r="A129" s="4">
        <v>45474</v>
      </c>
      <c r="B129">
        <v>1069.8607999999999</v>
      </c>
      <c r="C129" t="s">
        <v>69</v>
      </c>
      <c r="D129" t="s">
        <v>70</v>
      </c>
      <c r="E129" t="s">
        <v>47</v>
      </c>
    </row>
    <row r="130" spans="1:5" x14ac:dyDescent="0.15">
      <c r="A130" s="4">
        <v>44562</v>
      </c>
      <c r="B130">
        <v>999.86990000000003</v>
      </c>
      <c r="C130" t="s">
        <v>69</v>
      </c>
      <c r="D130" t="s">
        <v>70</v>
      </c>
      <c r="E130" t="s">
        <v>47</v>
      </c>
    </row>
    <row r="131" spans="1:5" x14ac:dyDescent="0.15">
      <c r="A131" s="4">
        <v>44197</v>
      </c>
      <c r="B131">
        <v>956.81330000000003</v>
      </c>
      <c r="C131" t="s">
        <v>69</v>
      </c>
      <c r="D131" t="s">
        <v>70</v>
      </c>
      <c r="E131" t="s">
        <v>47</v>
      </c>
    </row>
    <row r="132" spans="1:5" x14ac:dyDescent="0.15">
      <c r="A132" s="4">
        <v>43831</v>
      </c>
      <c r="B132">
        <v>915.61080000000004</v>
      </c>
      <c r="C132" t="s">
        <v>69</v>
      </c>
      <c r="D132" t="s">
        <v>70</v>
      </c>
      <c r="E132" t="s">
        <v>47</v>
      </c>
    </row>
    <row r="133" spans="1:5" x14ac:dyDescent="0.15">
      <c r="A133" s="4">
        <v>43468</v>
      </c>
      <c r="B133">
        <v>863.78380000000004</v>
      </c>
      <c r="C133" t="s">
        <v>69</v>
      </c>
      <c r="D133" t="s">
        <v>70</v>
      </c>
      <c r="E133" t="s">
        <v>47</v>
      </c>
    </row>
    <row r="134" spans="1:5" x14ac:dyDescent="0.15">
      <c r="A134" s="4">
        <v>43291</v>
      </c>
      <c r="B134">
        <v>834.57380000000001</v>
      </c>
      <c r="C134" t="s">
        <v>69</v>
      </c>
      <c r="D134" t="s">
        <v>70</v>
      </c>
      <c r="E134" t="s">
        <v>47</v>
      </c>
    </row>
    <row r="135" spans="1:5" x14ac:dyDescent="0.15">
      <c r="A135" s="4">
        <v>43028</v>
      </c>
      <c r="B135">
        <v>794.83209999999997</v>
      </c>
      <c r="C135" t="s">
        <v>69</v>
      </c>
      <c r="D135" t="s">
        <v>70</v>
      </c>
      <c r="E135" t="s">
        <v>47</v>
      </c>
    </row>
    <row r="136" spans="1:5" x14ac:dyDescent="0.15">
      <c r="A136" s="4">
        <v>42927</v>
      </c>
      <c r="B136">
        <v>729.2038</v>
      </c>
      <c r="C136" t="s">
        <v>69</v>
      </c>
      <c r="D136" t="s">
        <v>70</v>
      </c>
      <c r="E136" t="s">
        <v>47</v>
      </c>
    </row>
    <row r="137" spans="1:5" x14ac:dyDescent="0.15">
      <c r="A137" s="4">
        <v>42746</v>
      </c>
      <c r="B137">
        <v>716.66219999999998</v>
      </c>
      <c r="C137" t="s">
        <v>69</v>
      </c>
      <c r="D137" t="s">
        <v>70</v>
      </c>
      <c r="E137" t="s">
        <v>47</v>
      </c>
    </row>
    <row r="138" spans="1:5" x14ac:dyDescent="0.15">
      <c r="A138" s="4">
        <v>42602</v>
      </c>
      <c r="B138">
        <v>663.57619999999997</v>
      </c>
      <c r="C138" t="s">
        <v>69</v>
      </c>
      <c r="D138" t="s">
        <v>70</v>
      </c>
      <c r="E138" t="s">
        <v>47</v>
      </c>
    </row>
    <row r="139" spans="1:5" x14ac:dyDescent="0.15">
      <c r="A139" s="4">
        <v>42439</v>
      </c>
      <c r="B139">
        <v>644.24869999999999</v>
      </c>
      <c r="C139" t="s">
        <v>69</v>
      </c>
      <c r="D139" t="s">
        <v>70</v>
      </c>
      <c r="E139" t="s">
        <v>47</v>
      </c>
    </row>
    <row r="140" spans="1:5" x14ac:dyDescent="0.15">
      <c r="A140" s="4">
        <v>42279</v>
      </c>
      <c r="B140">
        <v>603.22910000000002</v>
      </c>
      <c r="C140" t="s">
        <v>69</v>
      </c>
      <c r="D140" t="s">
        <v>70</v>
      </c>
      <c r="E140" t="s">
        <v>47</v>
      </c>
    </row>
    <row r="141" spans="1:5" x14ac:dyDescent="0.15">
      <c r="A141" s="4">
        <v>42180</v>
      </c>
      <c r="B141">
        <v>580.02790000000005</v>
      </c>
      <c r="C141" t="s">
        <v>69</v>
      </c>
      <c r="D141" t="s">
        <v>70</v>
      </c>
      <c r="E141" t="s">
        <v>47</v>
      </c>
    </row>
    <row r="142" spans="1:5" x14ac:dyDescent="0.15">
      <c r="A142" s="4">
        <v>41996</v>
      </c>
      <c r="B142">
        <v>563.13390000000004</v>
      </c>
      <c r="C142" t="s">
        <v>69</v>
      </c>
      <c r="D142" t="s">
        <v>70</v>
      </c>
      <c r="E142" t="s">
        <v>47</v>
      </c>
    </row>
    <row r="143" spans="1:5" x14ac:dyDescent="0.15">
      <c r="A143" s="4">
        <v>41885</v>
      </c>
      <c r="B143">
        <v>546.73199999999997</v>
      </c>
      <c r="C143" t="s">
        <v>69</v>
      </c>
      <c r="D143" t="s">
        <v>70</v>
      </c>
      <c r="E143" t="s">
        <v>47</v>
      </c>
    </row>
    <row r="144" spans="1:5" x14ac:dyDescent="0.15">
      <c r="A144" s="4">
        <v>41704</v>
      </c>
      <c r="B144">
        <v>530.81380000000001</v>
      </c>
      <c r="C144" t="s">
        <v>69</v>
      </c>
      <c r="D144" t="s">
        <v>70</v>
      </c>
      <c r="E144" t="s">
        <v>47</v>
      </c>
    </row>
    <row r="145" spans="1:5" x14ac:dyDescent="0.15">
      <c r="A145" s="4">
        <v>41548</v>
      </c>
      <c r="B145">
        <v>510.39780000000002</v>
      </c>
      <c r="C145" t="s">
        <v>69</v>
      </c>
      <c r="D145" t="s">
        <v>70</v>
      </c>
      <c r="E145" t="s">
        <v>47</v>
      </c>
    </row>
    <row r="146" spans="1:5" x14ac:dyDescent="0.15">
      <c r="A146" s="4">
        <v>41363</v>
      </c>
      <c r="B146">
        <v>495.53179999999998</v>
      </c>
      <c r="C146" t="s">
        <v>69</v>
      </c>
      <c r="D146" t="s">
        <v>70</v>
      </c>
      <c r="E146" t="s">
        <v>47</v>
      </c>
    </row>
    <row r="147" spans="1:5" x14ac:dyDescent="0.15">
      <c r="A147" s="4">
        <v>41214</v>
      </c>
      <c r="B147">
        <v>481.09879999999998</v>
      </c>
      <c r="C147" t="s">
        <v>69</v>
      </c>
      <c r="D147" t="s">
        <v>70</v>
      </c>
      <c r="E147" t="s">
        <v>47</v>
      </c>
    </row>
    <row r="148" spans="1:5" x14ac:dyDescent="0.15">
      <c r="A148" s="4">
        <v>40876</v>
      </c>
      <c r="B148">
        <v>453.86689999999999</v>
      </c>
      <c r="C148" t="s">
        <v>69</v>
      </c>
      <c r="D148" t="s">
        <v>70</v>
      </c>
      <c r="E148" t="s">
        <v>47</v>
      </c>
    </row>
    <row r="149" spans="1:5" x14ac:dyDescent="0.15">
      <c r="A149" s="4">
        <v>40523</v>
      </c>
      <c r="B149">
        <v>428.17630000000003</v>
      </c>
      <c r="C149" t="s">
        <v>69</v>
      </c>
      <c r="D149" t="s">
        <v>70</v>
      </c>
      <c r="E149" t="s">
        <v>47</v>
      </c>
    </row>
    <row r="150" spans="1:5" x14ac:dyDescent="0.15">
      <c r="A150" s="4">
        <v>40183</v>
      </c>
      <c r="B150">
        <v>411.70839999999998</v>
      </c>
      <c r="C150" t="s">
        <v>69</v>
      </c>
      <c r="D150" t="s">
        <v>70</v>
      </c>
      <c r="E150" t="s">
        <v>47</v>
      </c>
    </row>
    <row r="151" spans="1:5" x14ac:dyDescent="0.15">
      <c r="A151" s="4">
        <v>39787</v>
      </c>
      <c r="B151">
        <v>392.47699999999998</v>
      </c>
      <c r="C151" t="s">
        <v>69</v>
      </c>
      <c r="D151" t="s">
        <v>70</v>
      </c>
      <c r="E151" t="s">
        <v>47</v>
      </c>
    </row>
    <row r="152" spans="1:5" x14ac:dyDescent="0.15">
      <c r="A152" s="4">
        <v>39451</v>
      </c>
      <c r="B152">
        <v>377.3818</v>
      </c>
      <c r="C152" t="s">
        <v>69</v>
      </c>
      <c r="D152" t="s">
        <v>70</v>
      </c>
      <c r="E152" t="s">
        <v>47</v>
      </c>
    </row>
    <row r="153" spans="1:5" x14ac:dyDescent="0.15">
      <c r="A153" s="4">
        <v>39085</v>
      </c>
      <c r="B153">
        <v>364.62</v>
      </c>
      <c r="C153" t="s">
        <v>69</v>
      </c>
      <c r="D153" t="s">
        <v>70</v>
      </c>
      <c r="E153" t="s">
        <v>47</v>
      </c>
    </row>
    <row r="154" spans="1:5" x14ac:dyDescent="0.15">
      <c r="A154" s="4">
        <v>38898</v>
      </c>
      <c r="B154">
        <v>354</v>
      </c>
      <c r="C154" t="s">
        <v>69</v>
      </c>
      <c r="D154" t="s">
        <v>70</v>
      </c>
      <c r="E154" t="s">
        <v>47</v>
      </c>
    </row>
    <row r="155" spans="1:5" x14ac:dyDescent="0.15">
      <c r="A155" s="4">
        <v>45474</v>
      </c>
      <c r="B155">
        <v>1069.86095</v>
      </c>
      <c r="C155" t="s">
        <v>71</v>
      </c>
      <c r="D155" t="s">
        <v>70</v>
      </c>
      <c r="E155" t="s">
        <v>60</v>
      </c>
    </row>
    <row r="156" spans="1:5" x14ac:dyDescent="0.15">
      <c r="A156" s="4">
        <v>44562</v>
      </c>
      <c r="B156">
        <v>999.87048000000004</v>
      </c>
      <c r="C156" t="s">
        <v>71</v>
      </c>
      <c r="D156" t="s">
        <v>70</v>
      </c>
      <c r="E156" t="s">
        <v>60</v>
      </c>
    </row>
    <row r="157" spans="1:5" x14ac:dyDescent="0.15">
      <c r="A157" s="4">
        <v>44197</v>
      </c>
      <c r="B157">
        <v>956.81380999999999</v>
      </c>
      <c r="C157" t="s">
        <v>71</v>
      </c>
      <c r="D157" t="s">
        <v>70</v>
      </c>
      <c r="E157" t="s">
        <v>60</v>
      </c>
    </row>
    <row r="158" spans="1:5" x14ac:dyDescent="0.15">
      <c r="A158" s="4">
        <v>43831</v>
      </c>
      <c r="B158">
        <v>915.61143000000004</v>
      </c>
      <c r="C158" t="s">
        <v>71</v>
      </c>
      <c r="D158" t="s">
        <v>70</v>
      </c>
      <c r="E158" t="s">
        <v>60</v>
      </c>
    </row>
    <row r="159" spans="1:5" x14ac:dyDescent="0.15">
      <c r="A159" s="4">
        <v>43468</v>
      </c>
      <c r="B159">
        <v>863.78476000000001</v>
      </c>
      <c r="C159" t="s">
        <v>71</v>
      </c>
      <c r="D159" t="s">
        <v>70</v>
      </c>
      <c r="E159" t="s">
        <v>60</v>
      </c>
    </row>
    <row r="160" spans="1:5" x14ac:dyDescent="0.15">
      <c r="A160" s="4">
        <v>43291</v>
      </c>
      <c r="B160">
        <v>834.57429000000002</v>
      </c>
      <c r="C160" t="s">
        <v>71</v>
      </c>
      <c r="D160" t="s">
        <v>70</v>
      </c>
      <c r="E160" t="s">
        <v>60</v>
      </c>
    </row>
    <row r="161" spans="1:5" x14ac:dyDescent="0.15">
      <c r="A161" s="4">
        <v>43028</v>
      </c>
      <c r="B161">
        <v>794.83237999999994</v>
      </c>
      <c r="C161" t="s">
        <v>71</v>
      </c>
      <c r="D161" t="s">
        <v>70</v>
      </c>
      <c r="E161" t="s">
        <v>60</v>
      </c>
    </row>
    <row r="162" spans="1:5" x14ac:dyDescent="0.15">
      <c r="A162" s="4">
        <v>42927</v>
      </c>
      <c r="B162">
        <v>729.20380999999998</v>
      </c>
      <c r="C162" t="s">
        <v>71</v>
      </c>
      <c r="D162" t="s">
        <v>70</v>
      </c>
      <c r="E162" t="s">
        <v>60</v>
      </c>
    </row>
    <row r="163" spans="1:5" x14ac:dyDescent="0.15">
      <c r="A163" s="4">
        <v>42746</v>
      </c>
      <c r="B163">
        <v>716.66237999999998</v>
      </c>
      <c r="C163" t="s">
        <v>71</v>
      </c>
      <c r="D163" t="s">
        <v>70</v>
      </c>
      <c r="E163" t="s">
        <v>60</v>
      </c>
    </row>
    <row r="164" spans="1:5" x14ac:dyDescent="0.15">
      <c r="A164" s="4">
        <v>42602</v>
      </c>
      <c r="B164">
        <v>663.57619</v>
      </c>
      <c r="C164" t="s">
        <v>71</v>
      </c>
      <c r="D164" t="s">
        <v>70</v>
      </c>
      <c r="E164" t="s">
        <v>60</v>
      </c>
    </row>
    <row r="165" spans="1:5" x14ac:dyDescent="0.15">
      <c r="A165" s="4">
        <v>42439</v>
      </c>
      <c r="B165">
        <v>644.24856999999997</v>
      </c>
      <c r="C165" t="s">
        <v>71</v>
      </c>
      <c r="D165" t="s">
        <v>70</v>
      </c>
      <c r="E165" t="s">
        <v>60</v>
      </c>
    </row>
    <row r="166" spans="1:5" x14ac:dyDescent="0.15">
      <c r="A166" s="4">
        <v>42279</v>
      </c>
      <c r="B166">
        <v>603.22905000000003</v>
      </c>
      <c r="C166" t="s">
        <v>71</v>
      </c>
      <c r="D166" t="s">
        <v>70</v>
      </c>
      <c r="E166" t="s">
        <v>60</v>
      </c>
    </row>
    <row r="167" spans="1:5" x14ac:dyDescent="0.15">
      <c r="A167" s="4">
        <v>42180</v>
      </c>
      <c r="B167">
        <v>580.02809999999999</v>
      </c>
      <c r="C167" t="s">
        <v>71</v>
      </c>
      <c r="D167" t="s">
        <v>70</v>
      </c>
      <c r="E167" t="s">
        <v>60</v>
      </c>
    </row>
    <row r="168" spans="1:5" x14ac:dyDescent="0.15">
      <c r="A168" s="4">
        <v>41996</v>
      </c>
      <c r="B168">
        <v>563.13381000000004</v>
      </c>
      <c r="C168" t="s">
        <v>71</v>
      </c>
      <c r="D168" t="s">
        <v>70</v>
      </c>
      <c r="E168" t="s">
        <v>60</v>
      </c>
    </row>
    <row r="169" spans="1:5" x14ac:dyDescent="0.15">
      <c r="A169" s="4">
        <v>41885</v>
      </c>
      <c r="B169">
        <v>546.7319</v>
      </c>
      <c r="C169" t="s">
        <v>71</v>
      </c>
      <c r="D169" t="s">
        <v>70</v>
      </c>
      <c r="E169" t="s">
        <v>60</v>
      </c>
    </row>
    <row r="170" spans="1:5" x14ac:dyDescent="0.15">
      <c r="A170" s="4">
        <v>41704</v>
      </c>
      <c r="B170">
        <v>530.81429000000003</v>
      </c>
      <c r="C170" t="s">
        <v>71</v>
      </c>
      <c r="D170" t="s">
        <v>70</v>
      </c>
      <c r="E170" t="s">
        <v>60</v>
      </c>
    </row>
    <row r="171" spans="1:5" x14ac:dyDescent="0.15">
      <c r="A171" s="4">
        <v>41548</v>
      </c>
      <c r="B171">
        <v>510.3981</v>
      </c>
      <c r="C171" t="s">
        <v>71</v>
      </c>
      <c r="D171" t="s">
        <v>70</v>
      </c>
      <c r="E171" t="s">
        <v>60</v>
      </c>
    </row>
    <row r="172" spans="1:5" x14ac:dyDescent="0.15">
      <c r="A172" s="4">
        <v>41363</v>
      </c>
      <c r="B172">
        <v>495.53237999999999</v>
      </c>
      <c r="C172" t="s">
        <v>71</v>
      </c>
      <c r="D172" t="s">
        <v>70</v>
      </c>
      <c r="E172" t="s">
        <v>60</v>
      </c>
    </row>
    <row r="173" spans="1:5" x14ac:dyDescent="0.15">
      <c r="A173" s="4">
        <v>41214</v>
      </c>
      <c r="B173">
        <v>481.09951999999998</v>
      </c>
      <c r="C173" t="s">
        <v>71</v>
      </c>
      <c r="D173" t="s">
        <v>70</v>
      </c>
      <c r="E173" t="s">
        <v>60</v>
      </c>
    </row>
    <row r="174" spans="1:5" x14ac:dyDescent="0.15">
      <c r="A174" s="4">
        <v>40876</v>
      </c>
      <c r="B174">
        <v>453.86761999999999</v>
      </c>
      <c r="C174" t="s">
        <v>71</v>
      </c>
      <c r="D174" t="s">
        <v>70</v>
      </c>
      <c r="E174" t="s">
        <v>60</v>
      </c>
    </row>
    <row r="175" spans="1:5" x14ac:dyDescent="0.15">
      <c r="A175" s="4">
        <v>40523</v>
      </c>
      <c r="B175">
        <v>428.17667</v>
      </c>
      <c r="C175" t="s">
        <v>71</v>
      </c>
      <c r="D175" t="s">
        <v>70</v>
      </c>
      <c r="E175" t="s">
        <v>60</v>
      </c>
    </row>
    <row r="176" spans="1:5" x14ac:dyDescent="0.15">
      <c r="A176" s="4">
        <v>40183</v>
      </c>
      <c r="B176">
        <v>411.70285999999999</v>
      </c>
      <c r="C176" t="s">
        <v>71</v>
      </c>
      <c r="D176" t="s">
        <v>70</v>
      </c>
      <c r="E176" t="s">
        <v>60</v>
      </c>
    </row>
    <row r="177" spans="1:5" x14ac:dyDescent="0.15">
      <c r="A177" s="4">
        <v>39904</v>
      </c>
      <c r="B177">
        <v>392.47190000000001</v>
      </c>
      <c r="C177" t="s">
        <v>71</v>
      </c>
      <c r="D177" t="s">
        <v>70</v>
      </c>
      <c r="E177" t="s">
        <v>60</v>
      </c>
    </row>
    <row r="178" spans="1:5" x14ac:dyDescent="0.15">
      <c r="A178" s="4">
        <v>45474</v>
      </c>
      <c r="B178">
        <v>1069.86095</v>
      </c>
      <c r="C178" t="s">
        <v>72</v>
      </c>
      <c r="D178" t="s">
        <v>73</v>
      </c>
      <c r="E178" t="s">
        <v>60</v>
      </c>
    </row>
    <row r="179" spans="1:5" x14ac:dyDescent="0.15">
      <c r="A179" s="4">
        <v>44562</v>
      </c>
      <c r="B179">
        <v>999.87048000000004</v>
      </c>
      <c r="C179" t="s">
        <v>72</v>
      </c>
      <c r="D179" t="s">
        <v>73</v>
      </c>
      <c r="E179" t="s">
        <v>60</v>
      </c>
    </row>
    <row r="180" spans="1:5" x14ac:dyDescent="0.15">
      <c r="A180" s="4">
        <v>44197</v>
      </c>
      <c r="B180">
        <v>956.81380999999999</v>
      </c>
      <c r="C180" t="s">
        <v>72</v>
      </c>
      <c r="D180" t="s">
        <v>73</v>
      </c>
      <c r="E180" t="s">
        <v>60</v>
      </c>
    </row>
    <row r="181" spans="1:5" x14ac:dyDescent="0.15">
      <c r="A181" s="4">
        <v>43831</v>
      </c>
      <c r="B181">
        <v>915.61143000000004</v>
      </c>
      <c r="C181" t="s">
        <v>72</v>
      </c>
      <c r="D181" t="s">
        <v>73</v>
      </c>
      <c r="E181" t="s">
        <v>60</v>
      </c>
    </row>
    <row r="182" spans="1:5" x14ac:dyDescent="0.15">
      <c r="A182" s="4">
        <v>43468</v>
      </c>
      <c r="B182">
        <v>863.78476000000001</v>
      </c>
      <c r="C182" t="s">
        <v>72</v>
      </c>
      <c r="D182" t="s">
        <v>73</v>
      </c>
      <c r="E182" t="s">
        <v>60</v>
      </c>
    </row>
    <row r="183" spans="1:5" x14ac:dyDescent="0.15">
      <c r="A183" s="4">
        <v>43291</v>
      </c>
      <c r="B183">
        <v>834.57429000000002</v>
      </c>
      <c r="C183" t="s">
        <v>72</v>
      </c>
      <c r="D183" t="s">
        <v>73</v>
      </c>
      <c r="E183" t="s">
        <v>60</v>
      </c>
    </row>
    <row r="184" spans="1:5" x14ac:dyDescent="0.15">
      <c r="A184" s="4">
        <v>43028</v>
      </c>
      <c r="B184">
        <v>794.83237999999994</v>
      </c>
      <c r="C184" t="s">
        <v>72</v>
      </c>
      <c r="D184" t="s">
        <v>73</v>
      </c>
      <c r="E184" t="s">
        <v>60</v>
      </c>
    </row>
    <row r="185" spans="1:5" x14ac:dyDescent="0.15">
      <c r="A185" s="4">
        <v>42927</v>
      </c>
      <c r="B185">
        <v>729.20380999999998</v>
      </c>
      <c r="C185" t="s">
        <v>72</v>
      </c>
      <c r="D185" t="s">
        <v>73</v>
      </c>
      <c r="E185" t="s">
        <v>60</v>
      </c>
    </row>
    <row r="186" spans="1:5" x14ac:dyDescent="0.15">
      <c r="A186" s="4">
        <v>42746</v>
      </c>
      <c r="B186">
        <v>716.66237999999998</v>
      </c>
      <c r="C186" t="s">
        <v>72</v>
      </c>
      <c r="D186" t="s">
        <v>73</v>
      </c>
      <c r="E186" t="s">
        <v>60</v>
      </c>
    </row>
    <row r="187" spans="1:5" x14ac:dyDescent="0.15">
      <c r="A187" s="4">
        <v>42602</v>
      </c>
      <c r="B187">
        <v>663.57619</v>
      </c>
      <c r="C187" t="s">
        <v>72</v>
      </c>
      <c r="D187" t="s">
        <v>73</v>
      </c>
      <c r="E187" t="s">
        <v>60</v>
      </c>
    </row>
    <row r="188" spans="1:5" x14ac:dyDescent="0.15">
      <c r="A188" s="4">
        <v>42439</v>
      </c>
      <c r="B188">
        <v>644.24856999999997</v>
      </c>
      <c r="C188" t="s">
        <v>72</v>
      </c>
      <c r="D188" t="s">
        <v>73</v>
      </c>
      <c r="E188" t="s">
        <v>60</v>
      </c>
    </row>
    <row r="189" spans="1:5" x14ac:dyDescent="0.15">
      <c r="A189" s="4">
        <v>42279</v>
      </c>
      <c r="B189">
        <v>603.22905000000003</v>
      </c>
      <c r="C189" t="s">
        <v>72</v>
      </c>
      <c r="D189" t="s">
        <v>73</v>
      </c>
      <c r="E189" t="s">
        <v>60</v>
      </c>
    </row>
    <row r="190" spans="1:5" x14ac:dyDescent="0.15">
      <c r="A190" s="4">
        <v>42180</v>
      </c>
      <c r="B190">
        <v>580.02809999999999</v>
      </c>
      <c r="C190" t="s">
        <v>72</v>
      </c>
      <c r="D190" t="s">
        <v>73</v>
      </c>
      <c r="E190" t="s">
        <v>60</v>
      </c>
    </row>
    <row r="191" spans="1:5" x14ac:dyDescent="0.15">
      <c r="A191" s="4">
        <v>41996</v>
      </c>
      <c r="B191">
        <v>563.13381000000004</v>
      </c>
      <c r="C191" t="s">
        <v>72</v>
      </c>
      <c r="D191" t="s">
        <v>73</v>
      </c>
      <c r="E191" t="s">
        <v>60</v>
      </c>
    </row>
    <row r="192" spans="1:5" x14ac:dyDescent="0.15">
      <c r="A192" s="4">
        <v>41885</v>
      </c>
      <c r="B192">
        <v>546.7319</v>
      </c>
      <c r="C192" t="s">
        <v>72</v>
      </c>
      <c r="D192" t="s">
        <v>73</v>
      </c>
      <c r="E192" t="s">
        <v>60</v>
      </c>
    </row>
    <row r="193" spans="1:5" x14ac:dyDescent="0.15">
      <c r="A193" s="4">
        <v>41704</v>
      </c>
      <c r="B193">
        <v>525.64619000000005</v>
      </c>
      <c r="C193" t="s">
        <v>72</v>
      </c>
      <c r="D193" t="s">
        <v>73</v>
      </c>
      <c r="E193" t="s">
        <v>60</v>
      </c>
    </row>
    <row r="194" spans="1:5" x14ac:dyDescent="0.15">
      <c r="A194" s="4">
        <v>41548</v>
      </c>
      <c r="B194">
        <v>505.42905000000002</v>
      </c>
      <c r="C194" t="s">
        <v>72</v>
      </c>
      <c r="D194" t="s">
        <v>73</v>
      </c>
      <c r="E194" t="s">
        <v>60</v>
      </c>
    </row>
    <row r="195" spans="1:5" x14ac:dyDescent="0.15">
      <c r="A195" s="4">
        <v>41363</v>
      </c>
      <c r="B195">
        <v>490.7081</v>
      </c>
      <c r="C195" t="s">
        <v>72</v>
      </c>
      <c r="D195" t="s">
        <v>73</v>
      </c>
      <c r="E195" t="s">
        <v>60</v>
      </c>
    </row>
    <row r="196" spans="1:5" x14ac:dyDescent="0.15">
      <c r="A196" s="4">
        <v>41214</v>
      </c>
      <c r="B196">
        <v>476.41523999999998</v>
      </c>
      <c r="C196" t="s">
        <v>72</v>
      </c>
      <c r="D196" t="s">
        <v>73</v>
      </c>
      <c r="E196" t="s">
        <v>60</v>
      </c>
    </row>
    <row r="197" spans="1:5" x14ac:dyDescent="0.15">
      <c r="A197" s="4">
        <v>40876</v>
      </c>
      <c r="B197">
        <v>449.44857000000002</v>
      </c>
      <c r="C197" t="s">
        <v>72</v>
      </c>
      <c r="D197" t="s">
        <v>73</v>
      </c>
      <c r="E197" t="s">
        <v>60</v>
      </c>
    </row>
    <row r="198" spans="1:5" x14ac:dyDescent="0.15">
      <c r="A198" s="4">
        <v>40523</v>
      </c>
      <c r="B198">
        <v>424.00810000000001</v>
      </c>
      <c r="C198" t="s">
        <v>72</v>
      </c>
      <c r="D198" t="s">
        <v>73</v>
      </c>
      <c r="E198" t="s">
        <v>60</v>
      </c>
    </row>
    <row r="199" spans="1:5" x14ac:dyDescent="0.15">
      <c r="A199" s="4">
        <v>40183</v>
      </c>
      <c r="B199">
        <v>407.70380999999998</v>
      </c>
      <c r="C199" t="s">
        <v>72</v>
      </c>
      <c r="D199" t="s">
        <v>73</v>
      </c>
      <c r="E199" t="s">
        <v>60</v>
      </c>
    </row>
    <row r="200" spans="1:5" x14ac:dyDescent="0.15">
      <c r="A200" s="4">
        <v>39939</v>
      </c>
      <c r="B200">
        <v>388.65951999999999</v>
      </c>
      <c r="C200" t="s">
        <v>72</v>
      </c>
      <c r="D200" t="s">
        <v>73</v>
      </c>
      <c r="E200" t="s">
        <v>60</v>
      </c>
    </row>
    <row r="201" spans="1:5" x14ac:dyDescent="0.15">
      <c r="A201" s="4">
        <v>39787</v>
      </c>
      <c r="B201">
        <v>377.55952000000002</v>
      </c>
      <c r="C201" t="s">
        <v>72</v>
      </c>
      <c r="D201" t="s">
        <v>73</v>
      </c>
      <c r="E201" t="s">
        <v>60</v>
      </c>
    </row>
    <row r="202" spans="1:5" x14ac:dyDescent="0.15">
      <c r="A202" s="4">
        <v>39451</v>
      </c>
      <c r="B202">
        <v>363.03762</v>
      </c>
      <c r="C202" t="s">
        <v>72</v>
      </c>
      <c r="D202" t="s">
        <v>73</v>
      </c>
      <c r="E202" t="s">
        <v>60</v>
      </c>
    </row>
    <row r="203" spans="1:5" x14ac:dyDescent="0.15">
      <c r="A203" s="4">
        <v>39085</v>
      </c>
      <c r="B203">
        <v>346.08</v>
      </c>
      <c r="C203" t="s">
        <v>72</v>
      </c>
      <c r="D203" t="s">
        <v>73</v>
      </c>
      <c r="E203" t="s">
        <v>60</v>
      </c>
    </row>
    <row r="204" spans="1:5" x14ac:dyDescent="0.15">
      <c r="A204" s="4">
        <v>38898</v>
      </c>
      <c r="B204">
        <v>336</v>
      </c>
      <c r="C204" t="s">
        <v>72</v>
      </c>
      <c r="D204" t="s">
        <v>73</v>
      </c>
      <c r="E204" t="s">
        <v>60</v>
      </c>
    </row>
    <row r="205" spans="1:5" x14ac:dyDescent="0.15">
      <c r="A205" s="4">
        <v>45474</v>
      </c>
      <c r="B205">
        <v>1069.8607999999999</v>
      </c>
      <c r="C205" t="s">
        <v>74</v>
      </c>
      <c r="D205" t="s">
        <v>73</v>
      </c>
      <c r="E205" t="s">
        <v>47</v>
      </c>
    </row>
    <row r="206" spans="1:5" x14ac:dyDescent="0.15">
      <c r="A206" s="4">
        <v>44562</v>
      </c>
      <c r="B206">
        <v>999.86990000000003</v>
      </c>
      <c r="C206" t="s">
        <v>74</v>
      </c>
      <c r="D206" t="s">
        <v>73</v>
      </c>
      <c r="E206" t="s">
        <v>47</v>
      </c>
    </row>
    <row r="207" spans="1:5" x14ac:dyDescent="0.15">
      <c r="A207" s="4">
        <v>44197</v>
      </c>
      <c r="B207">
        <v>956.81330000000003</v>
      </c>
      <c r="C207" t="s">
        <v>74</v>
      </c>
      <c r="D207" t="s">
        <v>73</v>
      </c>
      <c r="E207" t="s">
        <v>47</v>
      </c>
    </row>
    <row r="208" spans="1:5" x14ac:dyDescent="0.15">
      <c r="A208" s="4">
        <v>43831</v>
      </c>
      <c r="B208">
        <v>915.61080000000004</v>
      </c>
      <c r="C208" t="s">
        <v>74</v>
      </c>
      <c r="D208" t="s">
        <v>73</v>
      </c>
      <c r="E208" t="s">
        <v>47</v>
      </c>
    </row>
    <row r="209" spans="1:5" x14ac:dyDescent="0.15">
      <c r="A209" s="4">
        <v>43468</v>
      </c>
      <c r="B209">
        <v>863.78380000000004</v>
      </c>
      <c r="C209" t="s">
        <v>74</v>
      </c>
      <c r="D209" t="s">
        <v>73</v>
      </c>
      <c r="E209" t="s">
        <v>47</v>
      </c>
    </row>
    <row r="210" spans="1:5" x14ac:dyDescent="0.15">
      <c r="A210" s="4">
        <v>43291</v>
      </c>
      <c r="B210">
        <v>834.57380000000001</v>
      </c>
      <c r="C210" t="s">
        <v>74</v>
      </c>
      <c r="D210" t="s">
        <v>73</v>
      </c>
      <c r="E210" t="s">
        <v>47</v>
      </c>
    </row>
    <row r="211" spans="1:5" x14ac:dyDescent="0.15">
      <c r="A211" s="4">
        <v>43028</v>
      </c>
      <c r="B211">
        <v>794.83209999999997</v>
      </c>
      <c r="C211" t="s">
        <v>74</v>
      </c>
      <c r="D211" t="s">
        <v>73</v>
      </c>
      <c r="E211" t="s">
        <v>47</v>
      </c>
    </row>
    <row r="212" spans="1:5" x14ac:dyDescent="0.15">
      <c r="A212" s="4">
        <v>42927</v>
      </c>
      <c r="B212">
        <v>729.2038</v>
      </c>
      <c r="C212" t="s">
        <v>74</v>
      </c>
      <c r="D212" t="s">
        <v>73</v>
      </c>
      <c r="E212" t="s">
        <v>47</v>
      </c>
    </row>
    <row r="213" spans="1:5" x14ac:dyDescent="0.15">
      <c r="A213" s="4">
        <v>42746</v>
      </c>
      <c r="B213">
        <v>716.66219999999998</v>
      </c>
      <c r="C213" t="s">
        <v>74</v>
      </c>
      <c r="D213" t="s">
        <v>73</v>
      </c>
      <c r="E213" t="s">
        <v>47</v>
      </c>
    </row>
    <row r="214" spans="1:5" x14ac:dyDescent="0.15">
      <c r="A214" s="4">
        <v>42602</v>
      </c>
      <c r="B214">
        <v>663.57619999999997</v>
      </c>
      <c r="C214" t="s">
        <v>74</v>
      </c>
      <c r="D214" t="s">
        <v>73</v>
      </c>
      <c r="E214" t="s">
        <v>47</v>
      </c>
    </row>
    <row r="215" spans="1:5" x14ac:dyDescent="0.15">
      <c r="A215" s="4">
        <v>42439</v>
      </c>
      <c r="B215">
        <v>644.24869999999999</v>
      </c>
      <c r="C215" t="s">
        <v>74</v>
      </c>
      <c r="D215" t="s">
        <v>73</v>
      </c>
      <c r="E215" t="s">
        <v>47</v>
      </c>
    </row>
    <row r="216" spans="1:5" x14ac:dyDescent="0.15">
      <c r="A216" s="4">
        <v>42279</v>
      </c>
      <c r="B216">
        <v>603.22910000000002</v>
      </c>
      <c r="C216" t="s">
        <v>74</v>
      </c>
      <c r="D216" t="s">
        <v>73</v>
      </c>
      <c r="E216" t="s">
        <v>47</v>
      </c>
    </row>
    <row r="217" spans="1:5" x14ac:dyDescent="0.15">
      <c r="A217" s="4">
        <v>42180</v>
      </c>
      <c r="B217">
        <v>580.02790000000005</v>
      </c>
      <c r="C217" t="s">
        <v>74</v>
      </c>
      <c r="D217" t="s">
        <v>73</v>
      </c>
      <c r="E217" t="s">
        <v>47</v>
      </c>
    </row>
    <row r="218" spans="1:5" x14ac:dyDescent="0.15">
      <c r="A218" s="4">
        <v>41996</v>
      </c>
      <c r="B218">
        <v>563.13390000000004</v>
      </c>
      <c r="C218" t="s">
        <v>74</v>
      </c>
      <c r="D218" t="s">
        <v>73</v>
      </c>
      <c r="E218" t="s">
        <v>47</v>
      </c>
    </row>
    <row r="219" spans="1:5" x14ac:dyDescent="0.15">
      <c r="A219" s="4">
        <v>41885</v>
      </c>
      <c r="B219">
        <v>546.73199999999997</v>
      </c>
      <c r="C219" t="s">
        <v>74</v>
      </c>
      <c r="D219" t="s">
        <v>73</v>
      </c>
      <c r="E219" t="s">
        <v>47</v>
      </c>
    </row>
    <row r="220" spans="1:5" x14ac:dyDescent="0.15">
      <c r="A220" s="4">
        <v>41704</v>
      </c>
      <c r="B220">
        <v>525.64620000000002</v>
      </c>
      <c r="C220" t="s">
        <v>74</v>
      </c>
      <c r="D220" t="s">
        <v>73</v>
      </c>
      <c r="E220" t="s">
        <v>47</v>
      </c>
    </row>
    <row r="221" spans="1:5" x14ac:dyDescent="0.15">
      <c r="A221" s="4">
        <v>41548</v>
      </c>
      <c r="B221">
        <v>505.42910000000001</v>
      </c>
      <c r="C221" t="s">
        <v>74</v>
      </c>
      <c r="D221" t="s">
        <v>73</v>
      </c>
      <c r="E221" t="s">
        <v>47</v>
      </c>
    </row>
    <row r="222" spans="1:5" x14ac:dyDescent="0.15">
      <c r="A222" s="4">
        <v>41363</v>
      </c>
      <c r="B222">
        <v>490.7079</v>
      </c>
      <c r="C222" t="s">
        <v>74</v>
      </c>
      <c r="D222" t="s">
        <v>73</v>
      </c>
      <c r="E222" t="s">
        <v>47</v>
      </c>
    </row>
    <row r="223" spans="1:5" x14ac:dyDescent="0.15">
      <c r="A223" s="4">
        <v>41214</v>
      </c>
      <c r="B223">
        <v>476.41539999999998</v>
      </c>
      <c r="C223" t="s">
        <v>74</v>
      </c>
      <c r="D223" t="s">
        <v>73</v>
      </c>
      <c r="E223" t="s">
        <v>47</v>
      </c>
    </row>
    <row r="224" spans="1:5" x14ac:dyDescent="0.15">
      <c r="A224" s="4">
        <v>40876</v>
      </c>
      <c r="B224">
        <v>449.44850000000002</v>
      </c>
      <c r="C224" t="s">
        <v>74</v>
      </c>
      <c r="D224" t="s">
        <v>73</v>
      </c>
      <c r="E224" t="s">
        <v>47</v>
      </c>
    </row>
    <row r="225" spans="1:5" x14ac:dyDescent="0.15">
      <c r="A225" s="4">
        <v>40523</v>
      </c>
      <c r="B225">
        <v>424.00799999999998</v>
      </c>
      <c r="C225" t="s">
        <v>74</v>
      </c>
      <c r="D225" t="s">
        <v>73</v>
      </c>
      <c r="E225" t="s">
        <v>47</v>
      </c>
    </row>
    <row r="226" spans="1:5" x14ac:dyDescent="0.15">
      <c r="A226" s="4">
        <v>40183</v>
      </c>
      <c r="B226">
        <v>407.70409999999998</v>
      </c>
      <c r="C226" t="s">
        <v>74</v>
      </c>
      <c r="D226" t="s">
        <v>73</v>
      </c>
      <c r="E226" t="s">
        <v>47</v>
      </c>
    </row>
    <row r="227" spans="1:5" x14ac:dyDescent="0.15">
      <c r="A227" s="4">
        <v>39939</v>
      </c>
      <c r="B227">
        <v>388.65969999999999</v>
      </c>
      <c r="C227" t="s">
        <v>74</v>
      </c>
      <c r="D227" t="s">
        <v>73</v>
      </c>
      <c r="E227" t="s">
        <v>47</v>
      </c>
    </row>
    <row r="228" spans="1:5" x14ac:dyDescent="0.15">
      <c r="A228" s="4">
        <v>39787</v>
      </c>
      <c r="B228">
        <v>377.55950000000001</v>
      </c>
      <c r="C228" t="s">
        <v>74</v>
      </c>
      <c r="D228" t="s">
        <v>73</v>
      </c>
      <c r="E228" t="s">
        <v>47</v>
      </c>
    </row>
    <row r="229" spans="1:5" x14ac:dyDescent="0.15">
      <c r="A229" s="4">
        <v>39451</v>
      </c>
      <c r="B229">
        <v>363.03789999999998</v>
      </c>
      <c r="C229" t="s">
        <v>74</v>
      </c>
      <c r="D229" t="s">
        <v>73</v>
      </c>
      <c r="E229" t="s">
        <v>47</v>
      </c>
    </row>
    <row r="230" spans="1:5" x14ac:dyDescent="0.15">
      <c r="A230" s="4">
        <v>39085</v>
      </c>
      <c r="B230">
        <v>346.08</v>
      </c>
      <c r="C230" t="s">
        <v>74</v>
      </c>
      <c r="D230" t="s">
        <v>73</v>
      </c>
      <c r="E230" t="s">
        <v>47</v>
      </c>
    </row>
    <row r="231" spans="1:5" x14ac:dyDescent="0.15">
      <c r="A231" s="4">
        <v>38898</v>
      </c>
      <c r="B231">
        <v>336</v>
      </c>
      <c r="C231" t="s">
        <v>74</v>
      </c>
      <c r="D231" t="s">
        <v>73</v>
      </c>
      <c r="E231" t="s">
        <v>47</v>
      </c>
    </row>
    <row r="232" spans="1:5" x14ac:dyDescent="0.15">
      <c r="A232" s="4">
        <v>45474</v>
      </c>
      <c r="B232">
        <v>1069.8607999999999</v>
      </c>
      <c r="C232" t="s">
        <v>75</v>
      </c>
      <c r="D232" t="s">
        <v>76</v>
      </c>
      <c r="E232" t="s">
        <v>47</v>
      </c>
    </row>
    <row r="233" spans="1:5" x14ac:dyDescent="0.15">
      <c r="A233" s="4">
        <v>44562</v>
      </c>
      <c r="B233">
        <v>999.86990000000003</v>
      </c>
      <c r="C233" t="s">
        <v>75</v>
      </c>
      <c r="D233" t="s">
        <v>76</v>
      </c>
      <c r="E233" t="s">
        <v>47</v>
      </c>
    </row>
    <row r="234" spans="1:5" x14ac:dyDescent="0.15">
      <c r="A234" s="4">
        <v>44197</v>
      </c>
      <c r="B234">
        <v>956.81330000000003</v>
      </c>
      <c r="C234" t="s">
        <v>75</v>
      </c>
      <c r="D234" t="s">
        <v>76</v>
      </c>
      <c r="E234" t="s">
        <v>47</v>
      </c>
    </row>
    <row r="235" spans="1:5" x14ac:dyDescent="0.15">
      <c r="A235" s="4">
        <v>43831</v>
      </c>
      <c r="B235">
        <v>915.61080000000004</v>
      </c>
      <c r="C235" t="s">
        <v>75</v>
      </c>
      <c r="D235" t="s">
        <v>76</v>
      </c>
      <c r="E235" t="s">
        <v>47</v>
      </c>
    </row>
    <row r="236" spans="1:5" x14ac:dyDescent="0.15">
      <c r="A236" s="4">
        <v>43468</v>
      </c>
      <c r="B236">
        <v>863.78380000000004</v>
      </c>
      <c r="C236" t="s">
        <v>75</v>
      </c>
      <c r="D236" t="s">
        <v>76</v>
      </c>
      <c r="E236" t="s">
        <v>47</v>
      </c>
    </row>
    <row r="237" spans="1:5" x14ac:dyDescent="0.15">
      <c r="A237" s="4">
        <v>43291</v>
      </c>
      <c r="B237">
        <v>834.57380000000001</v>
      </c>
      <c r="C237" t="s">
        <v>75</v>
      </c>
      <c r="D237" t="s">
        <v>76</v>
      </c>
      <c r="E237" t="s">
        <v>47</v>
      </c>
    </row>
    <row r="238" spans="1:5" x14ac:dyDescent="0.15">
      <c r="A238" s="4">
        <v>43028</v>
      </c>
      <c r="B238">
        <v>794.83209999999997</v>
      </c>
      <c r="C238" t="s">
        <v>75</v>
      </c>
      <c r="D238" t="s">
        <v>76</v>
      </c>
      <c r="E238" t="s">
        <v>47</v>
      </c>
    </row>
    <row r="239" spans="1:5" x14ac:dyDescent="0.15">
      <c r="A239" s="4">
        <v>42927</v>
      </c>
      <c r="B239">
        <v>729.2038</v>
      </c>
      <c r="C239" t="s">
        <v>75</v>
      </c>
      <c r="D239" t="s">
        <v>76</v>
      </c>
      <c r="E239" t="s">
        <v>47</v>
      </c>
    </row>
    <row r="240" spans="1:5" x14ac:dyDescent="0.15">
      <c r="A240" s="4">
        <v>42746</v>
      </c>
      <c r="B240">
        <v>716.66219999999998</v>
      </c>
      <c r="C240" t="s">
        <v>75</v>
      </c>
      <c r="D240" t="s">
        <v>76</v>
      </c>
      <c r="E240" t="s">
        <v>47</v>
      </c>
    </row>
    <row r="241" spans="1:5" x14ac:dyDescent="0.15">
      <c r="A241" s="4">
        <v>42602</v>
      </c>
      <c r="B241">
        <v>663.57619999999997</v>
      </c>
      <c r="C241" t="s">
        <v>75</v>
      </c>
      <c r="D241" t="s">
        <v>76</v>
      </c>
      <c r="E241" t="s">
        <v>47</v>
      </c>
    </row>
    <row r="242" spans="1:5" x14ac:dyDescent="0.15">
      <c r="A242" s="4">
        <v>42439</v>
      </c>
      <c r="B242">
        <v>644.24869999999999</v>
      </c>
      <c r="C242" t="s">
        <v>75</v>
      </c>
      <c r="D242" t="s">
        <v>76</v>
      </c>
      <c r="E242" t="s">
        <v>47</v>
      </c>
    </row>
    <row r="243" spans="1:5" x14ac:dyDescent="0.15">
      <c r="A243" s="4">
        <v>42279</v>
      </c>
      <c r="B243">
        <v>603.22910000000002</v>
      </c>
      <c r="C243" t="s">
        <v>75</v>
      </c>
      <c r="D243" t="s">
        <v>76</v>
      </c>
      <c r="E243" t="s">
        <v>47</v>
      </c>
    </row>
    <row r="244" spans="1:5" x14ac:dyDescent="0.15">
      <c r="A244" s="4">
        <v>42180</v>
      </c>
      <c r="B244">
        <v>580.02790000000005</v>
      </c>
      <c r="C244" t="s">
        <v>75</v>
      </c>
      <c r="D244" t="s">
        <v>76</v>
      </c>
      <c r="E244" t="s">
        <v>47</v>
      </c>
    </row>
    <row r="245" spans="1:5" x14ac:dyDescent="0.15">
      <c r="A245" s="4">
        <v>41996</v>
      </c>
      <c r="B245">
        <v>563.13390000000004</v>
      </c>
      <c r="C245" t="s">
        <v>75</v>
      </c>
      <c r="D245" t="s">
        <v>76</v>
      </c>
      <c r="E245" t="s">
        <v>47</v>
      </c>
    </row>
    <row r="246" spans="1:5" x14ac:dyDescent="0.15">
      <c r="A246" s="4">
        <v>41885</v>
      </c>
      <c r="B246">
        <v>546.73199999999997</v>
      </c>
      <c r="C246" t="s">
        <v>75</v>
      </c>
      <c r="D246" t="s">
        <v>76</v>
      </c>
      <c r="E246" t="s">
        <v>47</v>
      </c>
    </row>
    <row r="247" spans="1:5" x14ac:dyDescent="0.15">
      <c r="A247" s="4">
        <v>41704</v>
      </c>
      <c r="B247">
        <v>523.51120000000003</v>
      </c>
      <c r="C247" t="s">
        <v>75</v>
      </c>
      <c r="D247" t="s">
        <v>76</v>
      </c>
      <c r="E247" t="s">
        <v>47</v>
      </c>
    </row>
    <row r="248" spans="1:5" x14ac:dyDescent="0.15">
      <c r="A248" s="4">
        <v>41548</v>
      </c>
      <c r="B248">
        <v>503.37610000000001</v>
      </c>
      <c r="C248" t="s">
        <v>75</v>
      </c>
      <c r="D248" t="s">
        <v>76</v>
      </c>
      <c r="E248" t="s">
        <v>47</v>
      </c>
    </row>
    <row r="249" spans="1:5" x14ac:dyDescent="0.15">
      <c r="A249" s="4">
        <v>41363</v>
      </c>
      <c r="B249">
        <v>488.71460000000002</v>
      </c>
      <c r="C249" t="s">
        <v>75</v>
      </c>
      <c r="D249" t="s">
        <v>76</v>
      </c>
      <c r="E249" t="s">
        <v>47</v>
      </c>
    </row>
    <row r="250" spans="1:5" x14ac:dyDescent="0.15">
      <c r="A250" s="4">
        <v>41214</v>
      </c>
      <c r="B250">
        <v>474.48020000000002</v>
      </c>
      <c r="C250" t="s">
        <v>75</v>
      </c>
      <c r="D250" t="s">
        <v>76</v>
      </c>
      <c r="E250" t="s">
        <v>47</v>
      </c>
    </row>
    <row r="251" spans="1:5" x14ac:dyDescent="0.15">
      <c r="A251" s="4">
        <v>40876</v>
      </c>
      <c r="B251">
        <v>447.62290000000002</v>
      </c>
      <c r="C251" t="s">
        <v>75</v>
      </c>
      <c r="D251" t="s">
        <v>76</v>
      </c>
      <c r="E251" t="s">
        <v>47</v>
      </c>
    </row>
    <row r="252" spans="1:5" x14ac:dyDescent="0.15">
      <c r="A252" s="4">
        <v>40523</v>
      </c>
      <c r="B252">
        <v>422.28579999999999</v>
      </c>
      <c r="C252" t="s">
        <v>75</v>
      </c>
      <c r="D252" t="s">
        <v>76</v>
      </c>
      <c r="E252" t="s">
        <v>47</v>
      </c>
    </row>
    <row r="253" spans="1:5" x14ac:dyDescent="0.15">
      <c r="A253" s="4">
        <v>40183</v>
      </c>
      <c r="B253">
        <v>406.04680000000002</v>
      </c>
      <c r="C253" t="s">
        <v>75</v>
      </c>
      <c r="D253" t="s">
        <v>76</v>
      </c>
      <c r="E253" t="s">
        <v>47</v>
      </c>
    </row>
    <row r="254" spans="1:5" x14ac:dyDescent="0.15">
      <c r="A254" s="4">
        <v>39939</v>
      </c>
      <c r="B254">
        <v>372.8621</v>
      </c>
      <c r="C254" t="s">
        <v>75</v>
      </c>
      <c r="D254" t="s">
        <v>76</v>
      </c>
      <c r="E254" t="s">
        <v>47</v>
      </c>
    </row>
    <row r="255" spans="1:5" x14ac:dyDescent="0.15">
      <c r="A255" s="4">
        <v>39787</v>
      </c>
      <c r="B255">
        <v>339.15050000000002</v>
      </c>
      <c r="C255" t="s">
        <v>75</v>
      </c>
      <c r="D255" t="s">
        <v>76</v>
      </c>
      <c r="E255" t="s">
        <v>47</v>
      </c>
    </row>
    <row r="256" spans="1:5" x14ac:dyDescent="0.15">
      <c r="A256" s="4">
        <v>39451</v>
      </c>
      <c r="B256">
        <v>326.1062</v>
      </c>
      <c r="C256" t="s">
        <v>75</v>
      </c>
      <c r="D256" t="s">
        <v>76</v>
      </c>
      <c r="E256" t="s">
        <v>47</v>
      </c>
    </row>
    <row r="257" spans="1:5" x14ac:dyDescent="0.15">
      <c r="A257" s="4">
        <v>39085</v>
      </c>
      <c r="B257">
        <v>296.73</v>
      </c>
      <c r="C257" t="s">
        <v>75</v>
      </c>
      <c r="D257" t="s">
        <v>76</v>
      </c>
      <c r="E257" t="s">
        <v>47</v>
      </c>
    </row>
    <row r="258" spans="1:5" x14ac:dyDescent="0.15">
      <c r="A258" s="4">
        <v>38715</v>
      </c>
      <c r="B258">
        <v>270</v>
      </c>
      <c r="C258" t="s">
        <v>75</v>
      </c>
      <c r="D258" t="s">
        <v>76</v>
      </c>
      <c r="E258" t="s">
        <v>47</v>
      </c>
    </row>
    <row r="259" spans="1:5" x14ac:dyDescent="0.15">
      <c r="A259" s="4">
        <v>45474</v>
      </c>
      <c r="B259">
        <v>1069.8599999999999</v>
      </c>
      <c r="C259" t="s">
        <v>77</v>
      </c>
      <c r="D259" t="s">
        <v>76</v>
      </c>
      <c r="E259" t="s">
        <v>54</v>
      </c>
    </row>
    <row r="260" spans="1:5" x14ac:dyDescent="0.15">
      <c r="A260" s="4">
        <v>44562</v>
      </c>
      <c r="B260">
        <v>999.86928999999998</v>
      </c>
      <c r="C260" t="s">
        <v>77</v>
      </c>
      <c r="D260" t="s">
        <v>76</v>
      </c>
      <c r="E260" t="s">
        <v>54</v>
      </c>
    </row>
    <row r="261" spans="1:5" x14ac:dyDescent="0.15">
      <c r="A261" s="4">
        <v>44197</v>
      </c>
      <c r="B261">
        <v>956.81286</v>
      </c>
      <c r="C261" t="s">
        <v>77</v>
      </c>
      <c r="D261" t="s">
        <v>76</v>
      </c>
      <c r="E261" t="s">
        <v>54</v>
      </c>
    </row>
    <row r="262" spans="1:5" x14ac:dyDescent="0.15">
      <c r="A262" s="4">
        <v>43831</v>
      </c>
      <c r="B262">
        <v>915.61036000000001</v>
      </c>
      <c r="C262" t="s">
        <v>77</v>
      </c>
      <c r="D262" t="s">
        <v>76</v>
      </c>
      <c r="E262" t="s">
        <v>54</v>
      </c>
    </row>
    <row r="263" spans="1:5" x14ac:dyDescent="0.15">
      <c r="A263" s="4">
        <v>43468</v>
      </c>
      <c r="B263">
        <v>863.78321000000005</v>
      </c>
      <c r="C263" t="s">
        <v>77</v>
      </c>
      <c r="D263" t="s">
        <v>76</v>
      </c>
      <c r="E263" t="s">
        <v>54</v>
      </c>
    </row>
    <row r="264" spans="1:5" x14ac:dyDescent="0.15">
      <c r="A264" s="4">
        <v>43291</v>
      </c>
      <c r="B264">
        <v>834.57285999999999</v>
      </c>
      <c r="C264" t="s">
        <v>77</v>
      </c>
      <c r="D264" t="s">
        <v>76</v>
      </c>
      <c r="E264" t="s">
        <v>54</v>
      </c>
    </row>
    <row r="265" spans="1:5" x14ac:dyDescent="0.15">
      <c r="A265" s="4">
        <v>43028</v>
      </c>
      <c r="B265">
        <v>794.83178999999996</v>
      </c>
      <c r="C265" t="s">
        <v>77</v>
      </c>
      <c r="D265" t="s">
        <v>76</v>
      </c>
      <c r="E265" t="s">
        <v>54</v>
      </c>
    </row>
    <row r="266" spans="1:5" x14ac:dyDescent="0.15">
      <c r="A266" s="4">
        <v>42927</v>
      </c>
      <c r="B266">
        <v>729.20321000000001</v>
      </c>
      <c r="C266" t="s">
        <v>77</v>
      </c>
      <c r="D266" t="s">
        <v>76</v>
      </c>
      <c r="E266" t="s">
        <v>54</v>
      </c>
    </row>
    <row r="267" spans="1:5" x14ac:dyDescent="0.15">
      <c r="A267" s="4">
        <v>42746</v>
      </c>
      <c r="B267">
        <v>716.66143</v>
      </c>
      <c r="C267" t="s">
        <v>77</v>
      </c>
      <c r="D267" t="s">
        <v>76</v>
      </c>
      <c r="E267" t="s">
        <v>54</v>
      </c>
    </row>
    <row r="268" spans="1:5" x14ac:dyDescent="0.15">
      <c r="A268" s="4">
        <v>42602</v>
      </c>
      <c r="B268">
        <v>663.57570999999996</v>
      </c>
      <c r="C268" t="s">
        <v>77</v>
      </c>
      <c r="D268" t="s">
        <v>76</v>
      </c>
      <c r="E268" t="s">
        <v>54</v>
      </c>
    </row>
    <row r="269" spans="1:5" x14ac:dyDescent="0.15">
      <c r="A269" s="4">
        <v>42439</v>
      </c>
      <c r="B269">
        <v>644.24820999999997</v>
      </c>
      <c r="C269" t="s">
        <v>77</v>
      </c>
      <c r="D269" t="s">
        <v>76</v>
      </c>
      <c r="E269" t="s">
        <v>54</v>
      </c>
    </row>
    <row r="270" spans="1:5" x14ac:dyDescent="0.15">
      <c r="A270" s="4">
        <v>42279</v>
      </c>
      <c r="B270">
        <v>603.22892999999999</v>
      </c>
      <c r="C270" t="s">
        <v>77</v>
      </c>
      <c r="D270" t="s">
        <v>76</v>
      </c>
      <c r="E270" t="s">
        <v>54</v>
      </c>
    </row>
    <row r="271" spans="1:5" x14ac:dyDescent="0.15">
      <c r="A271" s="4">
        <v>42180</v>
      </c>
      <c r="B271">
        <v>580.02786000000003</v>
      </c>
      <c r="C271" t="s">
        <v>77</v>
      </c>
      <c r="D271" t="s">
        <v>76</v>
      </c>
      <c r="E271" t="s">
        <v>54</v>
      </c>
    </row>
    <row r="272" spans="1:5" x14ac:dyDescent="0.15">
      <c r="A272" s="4">
        <v>41996</v>
      </c>
      <c r="B272">
        <v>563.13392999999996</v>
      </c>
      <c r="C272" t="s">
        <v>77</v>
      </c>
      <c r="D272" t="s">
        <v>76</v>
      </c>
      <c r="E272" t="s">
        <v>54</v>
      </c>
    </row>
    <row r="273" spans="1:5" x14ac:dyDescent="0.15">
      <c r="A273" s="4">
        <v>41885</v>
      </c>
      <c r="B273">
        <v>546.73213999999996</v>
      </c>
      <c r="C273" t="s">
        <v>77</v>
      </c>
      <c r="D273" t="s">
        <v>76</v>
      </c>
      <c r="E273" t="s">
        <v>54</v>
      </c>
    </row>
    <row r="274" spans="1:5" x14ac:dyDescent="0.15">
      <c r="A274" s="4">
        <v>41704</v>
      </c>
      <c r="B274">
        <v>523.51107000000002</v>
      </c>
      <c r="C274" t="s">
        <v>77</v>
      </c>
      <c r="D274" t="s">
        <v>76</v>
      </c>
      <c r="E274" t="s">
        <v>54</v>
      </c>
    </row>
    <row r="275" spans="1:5" x14ac:dyDescent="0.15">
      <c r="A275" s="4">
        <v>41548</v>
      </c>
      <c r="B275">
        <v>503.37607000000003</v>
      </c>
      <c r="C275" t="s">
        <v>77</v>
      </c>
      <c r="D275" t="s">
        <v>76</v>
      </c>
      <c r="E275" t="s">
        <v>54</v>
      </c>
    </row>
    <row r="276" spans="1:5" x14ac:dyDescent="0.15">
      <c r="A276" s="4">
        <v>41363</v>
      </c>
      <c r="B276">
        <v>488.71463999999997</v>
      </c>
      <c r="C276" t="s">
        <v>77</v>
      </c>
      <c r="D276" t="s">
        <v>76</v>
      </c>
      <c r="E276" t="s">
        <v>54</v>
      </c>
    </row>
    <row r="277" spans="1:5" x14ac:dyDescent="0.15">
      <c r="A277" s="4">
        <v>41214</v>
      </c>
      <c r="B277">
        <v>474.48</v>
      </c>
      <c r="C277" t="s">
        <v>77</v>
      </c>
      <c r="D277" t="s">
        <v>76</v>
      </c>
      <c r="E277" t="s">
        <v>54</v>
      </c>
    </row>
    <row r="278" spans="1:5" x14ac:dyDescent="0.15">
      <c r="A278" s="4">
        <v>40876</v>
      </c>
      <c r="B278">
        <v>447.62286</v>
      </c>
      <c r="C278" t="s">
        <v>77</v>
      </c>
      <c r="D278" t="s">
        <v>76</v>
      </c>
      <c r="E278" t="s">
        <v>54</v>
      </c>
    </row>
    <row r="279" spans="1:5" x14ac:dyDescent="0.15">
      <c r="A279" s="4">
        <v>40523</v>
      </c>
      <c r="B279">
        <v>422.28570999999999</v>
      </c>
      <c r="C279" t="s">
        <v>77</v>
      </c>
      <c r="D279" t="s">
        <v>76</v>
      </c>
      <c r="E279" t="s">
        <v>54</v>
      </c>
    </row>
    <row r="280" spans="1:5" x14ac:dyDescent="0.15">
      <c r="A280" s="4">
        <v>40183</v>
      </c>
      <c r="B280">
        <v>406.04928999999998</v>
      </c>
      <c r="C280" t="s">
        <v>77</v>
      </c>
      <c r="D280" t="s">
        <v>76</v>
      </c>
      <c r="E280" t="s">
        <v>54</v>
      </c>
    </row>
    <row r="281" spans="1:5" x14ac:dyDescent="0.15">
      <c r="A281" s="4">
        <v>39939</v>
      </c>
      <c r="B281">
        <v>372.86820999999998</v>
      </c>
      <c r="C281" t="s">
        <v>77</v>
      </c>
      <c r="D281" t="s">
        <v>76</v>
      </c>
      <c r="E281" t="s">
        <v>54</v>
      </c>
    </row>
    <row r="282" spans="1:5" x14ac:dyDescent="0.15">
      <c r="A282" s="4">
        <v>39904</v>
      </c>
      <c r="B282">
        <v>339.15607</v>
      </c>
      <c r="C282" t="s">
        <v>77</v>
      </c>
      <c r="D282" t="s">
        <v>76</v>
      </c>
      <c r="E28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9A55-174E-EC46-BF39-C67009BD669D}">
  <dimension ref="A1:G60"/>
  <sheetViews>
    <sheetView workbookViewId="0">
      <selection sqref="A1:C60"/>
    </sheetView>
  </sheetViews>
  <sheetFormatPr baseColWidth="10" defaultRowHeight="13" x14ac:dyDescent="0.15"/>
  <cols>
    <col min="1" max="1" width="10.83203125" style="4"/>
  </cols>
  <sheetData>
    <row r="1" spans="1:7" ht="16" x14ac:dyDescent="0.2">
      <c r="A1" s="13" t="s">
        <v>99</v>
      </c>
      <c r="B1" s="10" t="s">
        <v>100</v>
      </c>
      <c r="C1" t="s">
        <v>128</v>
      </c>
      <c r="F1" t="s">
        <v>127</v>
      </c>
      <c r="G1" t="s">
        <v>128</v>
      </c>
    </row>
    <row r="2" spans="1:7" ht="16" x14ac:dyDescent="0.2">
      <c r="A2" s="11">
        <v>38715</v>
      </c>
      <c r="B2" s="12">
        <v>264</v>
      </c>
      <c r="F2" s="4">
        <v>40543</v>
      </c>
      <c r="G2">
        <f>'[1]Medicare Cost'!B23</f>
        <v>350.27887189167751</v>
      </c>
    </row>
    <row r="3" spans="1:7" ht="16" x14ac:dyDescent="0.2">
      <c r="A3" s="11">
        <v>38898</v>
      </c>
      <c r="B3" s="12">
        <v>342</v>
      </c>
      <c r="F3" s="4">
        <f>F2+365</f>
        <v>40908</v>
      </c>
      <c r="G3">
        <f>'[1]Medicare Cost'!B24</f>
        <v>366.82978970938262</v>
      </c>
    </row>
    <row r="4" spans="1:7" ht="16" x14ac:dyDescent="0.2">
      <c r="A4" s="11">
        <v>39085</v>
      </c>
      <c r="B4" s="12">
        <v>327.41039999999992</v>
      </c>
      <c r="F4" s="4">
        <v>41274</v>
      </c>
      <c r="G4">
        <f>'[1]Medicare Cost'!B25</f>
        <v>389.28908178236708</v>
      </c>
    </row>
    <row r="5" spans="1:7" ht="16" x14ac:dyDescent="0.2">
      <c r="A5" s="11">
        <v>39451</v>
      </c>
      <c r="B5" s="12">
        <v>348.23524400000008</v>
      </c>
      <c r="F5" s="4">
        <f t="shared" ref="F5:F15" si="0">F4+365</f>
        <v>41639</v>
      </c>
      <c r="G5">
        <f>'[1]Medicare Cost'!B26</f>
        <v>418.39983108000001</v>
      </c>
    </row>
    <row r="6" spans="1:7" ht="16" x14ac:dyDescent="0.2">
      <c r="A6" s="11">
        <v>39787</v>
      </c>
      <c r="B6" s="12">
        <v>362.16472400000004</v>
      </c>
      <c r="F6" s="4">
        <f t="shared" si="0"/>
        <v>42004</v>
      </c>
      <c r="G6">
        <f>'[1]Medicare Cost'!B27</f>
        <v>450.96503587000001</v>
      </c>
    </row>
    <row r="7" spans="1:7" ht="16" x14ac:dyDescent="0.2">
      <c r="A7" s="11">
        <v>39904</v>
      </c>
      <c r="B7" s="12">
        <v>351.90003666666667</v>
      </c>
      <c r="F7" s="4">
        <f t="shared" si="0"/>
        <v>42369</v>
      </c>
      <c r="G7">
        <f>'[1]Medicare Cost'!B28</f>
        <v>489.91125238000001</v>
      </c>
    </row>
    <row r="8" spans="1:7" ht="16" x14ac:dyDescent="0.2">
      <c r="A8" s="11">
        <v>39939</v>
      </c>
      <c r="B8" s="12">
        <v>372.60468999999995</v>
      </c>
      <c r="F8" s="4">
        <v>42735</v>
      </c>
      <c r="G8">
        <f>'[1]Medicare Cost'!B29</f>
        <v>543.59019733000002</v>
      </c>
    </row>
    <row r="9" spans="1:7" ht="16" x14ac:dyDescent="0.2">
      <c r="A9" s="11">
        <v>40183</v>
      </c>
      <c r="B9" s="12">
        <v>403.36417749999998</v>
      </c>
      <c r="C9">
        <f>G2</f>
        <v>350.27887189167751</v>
      </c>
      <c r="F9" s="4">
        <f t="shared" si="0"/>
        <v>43100</v>
      </c>
      <c r="G9">
        <f>'[1]Medicare Cost'!B30</f>
        <v>626.94004510000002</v>
      </c>
    </row>
    <row r="10" spans="1:7" ht="16" x14ac:dyDescent="0.2">
      <c r="A10" s="11">
        <v>40523</v>
      </c>
      <c r="B10" s="12">
        <v>422.40649874999997</v>
      </c>
      <c r="C10">
        <f>G2</f>
        <v>350.27887189167751</v>
      </c>
      <c r="F10" s="4">
        <f t="shared" si="0"/>
        <v>43465</v>
      </c>
      <c r="G10">
        <f>'[1]Medicare Cost'!B31</f>
        <v>697.35425120000002</v>
      </c>
    </row>
    <row r="11" spans="1:7" ht="16" x14ac:dyDescent="0.2">
      <c r="A11" s="11">
        <v>40876</v>
      </c>
      <c r="B11" s="12">
        <v>447.75097625000001</v>
      </c>
      <c r="C11">
        <f>G3</f>
        <v>366.82978970938262</v>
      </c>
      <c r="F11" s="4">
        <f t="shared" si="0"/>
        <v>43830</v>
      </c>
      <c r="G11">
        <f>'[1]Medicare Cost'!B32</f>
        <v>745.58849599999996</v>
      </c>
    </row>
    <row r="12" spans="1:7" ht="16" x14ac:dyDescent="0.2">
      <c r="A12" s="11">
        <v>41015</v>
      </c>
      <c r="B12" s="12">
        <v>440.06522999999999</v>
      </c>
      <c r="C12">
        <f>G4</f>
        <v>389.28908178236708</v>
      </c>
      <c r="F12" s="4">
        <f>F11+366</f>
        <v>44196</v>
      </c>
      <c r="G12">
        <f>'[1]Medicare Cost'!B33</f>
        <v>794.32802649999996</v>
      </c>
    </row>
    <row r="13" spans="1:7" ht="16" x14ac:dyDescent="0.2">
      <c r="A13" s="11">
        <v>41214</v>
      </c>
      <c r="B13" s="12">
        <v>472.98659399999997</v>
      </c>
      <c r="C13">
        <f>G4</f>
        <v>389.28908178236708</v>
      </c>
      <c r="F13" s="4">
        <f t="shared" si="0"/>
        <v>44561</v>
      </c>
      <c r="G13">
        <f>'[1]Medicare Cost'!B34</f>
        <v>840.1744443</v>
      </c>
    </row>
    <row r="14" spans="1:7" ht="16" x14ac:dyDescent="0.2">
      <c r="A14" s="11">
        <v>41363</v>
      </c>
      <c r="B14" s="12">
        <v>487.17620399999998</v>
      </c>
      <c r="C14">
        <f>G5</f>
        <v>418.39983108000001</v>
      </c>
      <c r="F14" s="4">
        <f t="shared" si="0"/>
        <v>44926</v>
      </c>
      <c r="G14">
        <f>'[1]Medicare Cost'!B35</f>
        <v>883.09617739999999</v>
      </c>
    </row>
    <row r="15" spans="1:7" ht="16" x14ac:dyDescent="0.2">
      <c r="A15" s="11">
        <v>41443</v>
      </c>
      <c r="B15" s="12">
        <v>495.53208999999998</v>
      </c>
      <c r="C15">
        <f>G5</f>
        <v>418.39983108000001</v>
      </c>
      <c r="F15" s="4">
        <f t="shared" si="0"/>
        <v>45291</v>
      </c>
      <c r="G15">
        <f>'[1]Medicare Cost'!B36</f>
        <v>878.21219629999996</v>
      </c>
    </row>
    <row r="16" spans="1:7" ht="16" x14ac:dyDescent="0.2">
      <c r="A16" s="11">
        <v>41548</v>
      </c>
      <c r="B16" s="12">
        <v>503.22586666666666</v>
      </c>
      <c r="C16">
        <f>G5</f>
        <v>418.39983108000001</v>
      </c>
      <c r="F16" s="4">
        <f>F2-364</f>
        <v>40179</v>
      </c>
      <c r="G16">
        <f>G2</f>
        <v>350.27887189167751</v>
      </c>
    </row>
    <row r="17" spans="1:7" ht="16" x14ac:dyDescent="0.2">
      <c r="A17" s="11">
        <v>41704</v>
      </c>
      <c r="B17" s="12">
        <v>523.35494333333338</v>
      </c>
      <c r="C17">
        <f>G6</f>
        <v>450.96503587000001</v>
      </c>
      <c r="F17" s="4">
        <f t="shared" ref="F17:F29" si="1">F3-364</f>
        <v>40544</v>
      </c>
      <c r="G17">
        <f t="shared" ref="G17:G29" si="2">G3</f>
        <v>366.82978970938262</v>
      </c>
    </row>
    <row r="18" spans="1:7" ht="16" x14ac:dyDescent="0.2">
      <c r="A18" s="11">
        <v>41885</v>
      </c>
      <c r="B18" s="12">
        <v>546.73200999999995</v>
      </c>
      <c r="C18">
        <f>G6</f>
        <v>450.96503587000001</v>
      </c>
      <c r="F18" s="4">
        <f>F4-365</f>
        <v>40909</v>
      </c>
      <c r="G18">
        <f t="shared" si="2"/>
        <v>389.28908178236708</v>
      </c>
    </row>
    <row r="19" spans="1:7" ht="16" x14ac:dyDescent="0.2">
      <c r="A19" s="11">
        <v>41996</v>
      </c>
      <c r="B19" s="12">
        <v>563.13388500000008</v>
      </c>
      <c r="C19">
        <f>G6</f>
        <v>450.96503587000001</v>
      </c>
      <c r="F19" s="4">
        <f t="shared" si="1"/>
        <v>41275</v>
      </c>
      <c r="G19">
        <f t="shared" si="2"/>
        <v>418.39983108000001</v>
      </c>
    </row>
    <row r="20" spans="1:7" ht="16" x14ac:dyDescent="0.2">
      <c r="A20" s="11">
        <v>42180</v>
      </c>
      <c r="B20" s="12">
        <v>580.02794000000006</v>
      </c>
      <c r="C20">
        <f>G7</f>
        <v>489.91125238000001</v>
      </c>
      <c r="F20" s="4">
        <f t="shared" si="1"/>
        <v>41640</v>
      </c>
      <c r="G20">
        <f t="shared" si="2"/>
        <v>450.96503587000001</v>
      </c>
    </row>
    <row r="21" spans="1:7" ht="16" x14ac:dyDescent="0.2">
      <c r="A21" s="11">
        <v>42279</v>
      </c>
      <c r="B21" s="12">
        <v>603.22904500000004</v>
      </c>
      <c r="C21">
        <f>G7</f>
        <v>489.91125238000001</v>
      </c>
      <c r="F21" s="4">
        <f t="shared" si="1"/>
        <v>42005</v>
      </c>
      <c r="G21">
        <f t="shared" si="2"/>
        <v>489.91125238000001</v>
      </c>
    </row>
    <row r="22" spans="1:7" ht="16" x14ac:dyDescent="0.2">
      <c r="A22" s="11">
        <v>42439</v>
      </c>
      <c r="B22" s="12">
        <v>644.24854499999992</v>
      </c>
      <c r="C22">
        <f>G8</f>
        <v>543.59019733000002</v>
      </c>
      <c r="F22" s="4">
        <f>F8-365</f>
        <v>42370</v>
      </c>
      <c r="G22">
        <f t="shared" si="2"/>
        <v>543.59019733000002</v>
      </c>
    </row>
    <row r="23" spans="1:7" ht="16" x14ac:dyDescent="0.2">
      <c r="A23" s="11">
        <v>42602</v>
      </c>
      <c r="B23" s="12">
        <v>663.57607499999995</v>
      </c>
      <c r="C23">
        <f>G8</f>
        <v>543.59019733000002</v>
      </c>
      <c r="F23" s="4">
        <f t="shared" si="1"/>
        <v>42736</v>
      </c>
      <c r="G23">
        <f t="shared" si="2"/>
        <v>626.94004510000002</v>
      </c>
    </row>
    <row r="24" spans="1:7" ht="16" x14ac:dyDescent="0.2">
      <c r="A24" s="11">
        <v>42746</v>
      </c>
      <c r="B24" s="12">
        <v>716.66205249999985</v>
      </c>
      <c r="C24">
        <f>G9</f>
        <v>626.94004510000002</v>
      </c>
      <c r="F24" s="4">
        <f>F10-364</f>
        <v>43101</v>
      </c>
      <c r="G24">
        <f t="shared" si="2"/>
        <v>697.35425120000002</v>
      </c>
    </row>
    <row r="25" spans="1:7" ht="16" x14ac:dyDescent="0.2">
      <c r="A25" s="11">
        <v>42927</v>
      </c>
      <c r="B25" s="12">
        <v>729.20365499999991</v>
      </c>
      <c r="C25">
        <f>G9</f>
        <v>626.94004510000002</v>
      </c>
      <c r="F25" s="4">
        <f t="shared" si="1"/>
        <v>43466</v>
      </c>
      <c r="G25">
        <f t="shared" si="2"/>
        <v>745.58849599999996</v>
      </c>
    </row>
    <row r="26" spans="1:7" ht="16" x14ac:dyDescent="0.2">
      <c r="A26" s="11">
        <v>43028</v>
      </c>
      <c r="B26" s="12">
        <v>794.83209249999982</v>
      </c>
      <c r="C26">
        <f t="shared" ref="C26:C31" si="3">G9</f>
        <v>626.94004510000002</v>
      </c>
      <c r="F26" s="4">
        <f>F12-365</f>
        <v>43831</v>
      </c>
      <c r="G26">
        <f t="shared" si="2"/>
        <v>794.32802649999996</v>
      </c>
    </row>
    <row r="27" spans="1:7" ht="16" x14ac:dyDescent="0.2">
      <c r="A27" s="11">
        <v>43291</v>
      </c>
      <c r="B27" s="12">
        <v>834.57368750000012</v>
      </c>
      <c r="C27">
        <f t="shared" si="3"/>
        <v>697.35425120000002</v>
      </c>
      <c r="F27" s="4">
        <f t="shared" si="1"/>
        <v>44197</v>
      </c>
      <c r="G27">
        <f t="shared" si="2"/>
        <v>840.1744443</v>
      </c>
    </row>
    <row r="28" spans="1:7" ht="16" x14ac:dyDescent="0.2">
      <c r="A28" s="11">
        <v>43468</v>
      </c>
      <c r="B28" s="12">
        <v>863.78389249999998</v>
      </c>
      <c r="C28">
        <f t="shared" si="3"/>
        <v>745.58849599999996</v>
      </c>
      <c r="F28" s="4">
        <f>F14-364</f>
        <v>44562</v>
      </c>
      <c r="G28">
        <f t="shared" si="2"/>
        <v>883.09617739999999</v>
      </c>
    </row>
    <row r="29" spans="1:7" x14ac:dyDescent="0.15">
      <c r="A29" s="4">
        <v>43831</v>
      </c>
      <c r="B29">
        <v>915.6108475000002</v>
      </c>
      <c r="C29">
        <f t="shared" si="3"/>
        <v>794.32802649999996</v>
      </c>
      <c r="F29" s="4">
        <f t="shared" si="1"/>
        <v>44927</v>
      </c>
      <c r="G29">
        <f t="shared" si="2"/>
        <v>878.21219629999996</v>
      </c>
    </row>
    <row r="30" spans="1:7" x14ac:dyDescent="0.15">
      <c r="A30" s="4">
        <v>44197</v>
      </c>
      <c r="B30">
        <v>956.81331749999993</v>
      </c>
      <c r="C30">
        <f t="shared" si="3"/>
        <v>840.1744443</v>
      </c>
    </row>
    <row r="31" spans="1:7" x14ac:dyDescent="0.15">
      <c r="A31" s="4">
        <v>44562</v>
      </c>
      <c r="B31">
        <v>999.86989249999988</v>
      </c>
      <c r="C31">
        <f t="shared" si="3"/>
        <v>883.09617739999999</v>
      </c>
    </row>
    <row r="32" spans="1:7" x14ac:dyDescent="0.15">
      <c r="A32" s="4">
        <v>45474</v>
      </c>
      <c r="B32">
        <v>1069.8606375000002</v>
      </c>
    </row>
    <row r="33" spans="1:3" x14ac:dyDescent="0.15">
      <c r="A33" s="4">
        <v>40543</v>
      </c>
      <c r="C33">
        <v>350.27887189167751</v>
      </c>
    </row>
    <row r="34" spans="1:3" x14ac:dyDescent="0.15">
      <c r="A34" s="4">
        <v>40908</v>
      </c>
      <c r="C34">
        <v>366.82978970938262</v>
      </c>
    </row>
    <row r="35" spans="1:3" x14ac:dyDescent="0.15">
      <c r="A35" s="4">
        <v>41274</v>
      </c>
      <c r="C35">
        <v>389.28908178236708</v>
      </c>
    </row>
    <row r="36" spans="1:3" x14ac:dyDescent="0.15">
      <c r="A36" s="4">
        <v>41639</v>
      </c>
      <c r="C36">
        <v>418.39983108000001</v>
      </c>
    </row>
    <row r="37" spans="1:3" x14ac:dyDescent="0.15">
      <c r="A37" s="4">
        <v>42004</v>
      </c>
      <c r="C37">
        <v>450.96503587000001</v>
      </c>
    </row>
    <row r="38" spans="1:3" x14ac:dyDescent="0.15">
      <c r="A38" s="4">
        <v>42369</v>
      </c>
      <c r="C38">
        <v>489.91125238000001</v>
      </c>
    </row>
    <row r="39" spans="1:3" x14ac:dyDescent="0.15">
      <c r="A39" s="4">
        <v>42735</v>
      </c>
      <c r="C39">
        <v>543.59019733000002</v>
      </c>
    </row>
    <row r="40" spans="1:3" x14ac:dyDescent="0.15">
      <c r="A40" s="4">
        <v>43100</v>
      </c>
      <c r="C40">
        <v>626.94004510000002</v>
      </c>
    </row>
    <row r="41" spans="1:3" x14ac:dyDescent="0.15">
      <c r="A41" s="4">
        <v>43465</v>
      </c>
      <c r="C41">
        <v>697.35425120000002</v>
      </c>
    </row>
    <row r="42" spans="1:3" x14ac:dyDescent="0.15">
      <c r="A42" s="4">
        <v>43830</v>
      </c>
      <c r="C42">
        <v>745.58849599999996</v>
      </c>
    </row>
    <row r="43" spans="1:3" x14ac:dyDescent="0.15">
      <c r="A43" s="4">
        <v>44196</v>
      </c>
      <c r="C43">
        <v>794.32802649999996</v>
      </c>
    </row>
    <row r="44" spans="1:3" x14ac:dyDescent="0.15">
      <c r="A44" s="4">
        <v>44561</v>
      </c>
      <c r="C44">
        <v>840.1744443</v>
      </c>
    </row>
    <row r="45" spans="1:3" x14ac:dyDescent="0.15">
      <c r="A45" s="4">
        <v>44926</v>
      </c>
      <c r="C45">
        <v>883.09617739999999</v>
      </c>
    </row>
    <row r="46" spans="1:3" x14ac:dyDescent="0.15">
      <c r="A46" s="4">
        <v>45291</v>
      </c>
      <c r="C46">
        <v>878.21219629999996</v>
      </c>
    </row>
    <row r="47" spans="1:3" x14ac:dyDescent="0.15">
      <c r="A47" s="4">
        <v>40179</v>
      </c>
      <c r="C47">
        <v>350.27887189167751</v>
      </c>
    </row>
    <row r="48" spans="1:3" x14ac:dyDescent="0.15">
      <c r="A48" s="4">
        <v>40544</v>
      </c>
      <c r="C48">
        <v>366.82978970938262</v>
      </c>
    </row>
    <row r="49" spans="1:3" x14ac:dyDescent="0.15">
      <c r="A49" s="4">
        <v>40909</v>
      </c>
      <c r="C49">
        <v>389.28908178236708</v>
      </c>
    </row>
    <row r="50" spans="1:3" x14ac:dyDescent="0.15">
      <c r="A50" s="4">
        <v>41275</v>
      </c>
      <c r="C50">
        <v>418.39983108000001</v>
      </c>
    </row>
    <row r="51" spans="1:3" x14ac:dyDescent="0.15">
      <c r="A51" s="4">
        <v>41640</v>
      </c>
      <c r="C51">
        <v>450.96503587000001</v>
      </c>
    </row>
    <row r="52" spans="1:3" x14ac:dyDescent="0.15">
      <c r="A52" s="4">
        <v>42005</v>
      </c>
      <c r="C52">
        <v>489.91125238000001</v>
      </c>
    </row>
    <row r="53" spans="1:3" x14ac:dyDescent="0.15">
      <c r="A53" s="4">
        <v>42370</v>
      </c>
      <c r="C53">
        <v>543.59019733000002</v>
      </c>
    </row>
    <row r="54" spans="1:3" x14ac:dyDescent="0.15">
      <c r="A54" s="4">
        <v>42736</v>
      </c>
      <c r="C54">
        <v>626.94004510000002</v>
      </c>
    </row>
    <row r="55" spans="1:3" x14ac:dyDescent="0.15">
      <c r="A55" s="4">
        <v>43101</v>
      </c>
      <c r="C55">
        <v>697.35425120000002</v>
      </c>
    </row>
    <row r="56" spans="1:3" x14ac:dyDescent="0.15">
      <c r="A56" s="4">
        <v>43466</v>
      </c>
      <c r="C56">
        <v>745.58849599999996</v>
      </c>
    </row>
    <row r="57" spans="1:3" x14ac:dyDescent="0.15">
      <c r="A57" s="4">
        <v>43831</v>
      </c>
      <c r="C57">
        <v>794.32802649999996</v>
      </c>
    </row>
    <row r="58" spans="1:3" x14ac:dyDescent="0.15">
      <c r="A58" s="4">
        <v>44197</v>
      </c>
      <c r="C58">
        <v>840.1744443</v>
      </c>
    </row>
    <row r="59" spans="1:3" x14ac:dyDescent="0.15">
      <c r="A59" s="4">
        <v>44562</v>
      </c>
      <c r="C59">
        <v>883.09617739999999</v>
      </c>
    </row>
    <row r="60" spans="1:3" x14ac:dyDescent="0.15">
      <c r="A60" s="4">
        <v>44927</v>
      </c>
      <c r="C60">
        <v>878.21219629999996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BC41-1C0A-6343-BECC-6D75C3BFF881}">
  <dimension ref="A1:L29"/>
  <sheetViews>
    <sheetView workbookViewId="0">
      <selection activeCell="G29" sqref="G29"/>
    </sheetView>
  </sheetViews>
  <sheetFormatPr baseColWidth="10" defaultRowHeight="13" x14ac:dyDescent="0.15"/>
  <cols>
    <col min="6" max="6" width="11.6640625" bestFit="1" customWidth="1"/>
    <col min="12" max="12" width="11.6640625" bestFit="1" customWidth="1"/>
  </cols>
  <sheetData>
    <row r="1" spans="1:12" ht="26" x14ac:dyDescent="0.15">
      <c r="B1" t="s">
        <v>99</v>
      </c>
      <c r="C1" t="s">
        <v>100</v>
      </c>
      <c r="D1" t="s">
        <v>101</v>
      </c>
      <c r="E1" t="s">
        <v>10</v>
      </c>
      <c r="F1" s="1" t="s">
        <v>129</v>
      </c>
      <c r="J1" s="3" t="s">
        <v>99</v>
      </c>
      <c r="K1" s="3" t="s">
        <v>100</v>
      </c>
    </row>
    <row r="2" spans="1:12" x14ac:dyDescent="0.15">
      <c r="A2">
        <v>1</v>
      </c>
      <c r="B2" s="4">
        <v>38715</v>
      </c>
      <c r="C2">
        <v>258</v>
      </c>
      <c r="D2">
        <v>0</v>
      </c>
      <c r="E2" t="s">
        <v>43</v>
      </c>
      <c r="I2">
        <v>1</v>
      </c>
      <c r="J2" s="5">
        <v>38898</v>
      </c>
      <c r="K2" s="6">
        <v>354</v>
      </c>
    </row>
    <row r="3" spans="1:12" x14ac:dyDescent="0.15">
      <c r="A3">
        <f>B3-B$2</f>
        <v>370</v>
      </c>
      <c r="B3" s="4">
        <v>39085</v>
      </c>
      <c r="C3">
        <v>283.54199999999997</v>
      </c>
      <c r="D3">
        <v>9.9</v>
      </c>
      <c r="E3" t="s">
        <v>43</v>
      </c>
      <c r="F3" s="14">
        <f>(A3-A2)*C2</f>
        <v>95202</v>
      </c>
      <c r="I3">
        <f>J3-J$2</f>
        <v>187</v>
      </c>
      <c r="J3" s="5">
        <v>39085</v>
      </c>
      <c r="K3" s="6">
        <v>364.62</v>
      </c>
      <c r="L3" s="14">
        <f>(I3-I2)*K2*0.75</f>
        <v>49383</v>
      </c>
    </row>
    <row r="4" spans="1:12" x14ac:dyDescent="0.15">
      <c r="A4">
        <f t="shared" ref="A4:A28" si="0">B4-B$2</f>
        <v>736</v>
      </c>
      <c r="B4" s="4">
        <v>39451</v>
      </c>
      <c r="C4">
        <v>311.61270000000002</v>
      </c>
      <c r="D4">
        <v>9.9</v>
      </c>
      <c r="E4" t="s">
        <v>43</v>
      </c>
      <c r="F4" s="14">
        <f t="shared" ref="F4:F28" si="1">(A4-A3)*C3</f>
        <v>103776.37199999999</v>
      </c>
      <c r="I4">
        <f t="shared" ref="I4:I27" si="2">J4-J$2</f>
        <v>553</v>
      </c>
      <c r="J4" s="5">
        <v>39451</v>
      </c>
      <c r="K4" s="6">
        <v>377.3818</v>
      </c>
      <c r="L4" s="14">
        <f t="shared" ref="L4:L27" si="3">(I4-I3)*K3*0.75</f>
        <v>100088.19</v>
      </c>
    </row>
    <row r="5" spans="1:12" x14ac:dyDescent="0.15">
      <c r="A5">
        <f t="shared" si="0"/>
        <v>1072</v>
      </c>
      <c r="B5" s="4">
        <v>39787</v>
      </c>
      <c r="C5">
        <v>324.07709999999997</v>
      </c>
      <c r="D5">
        <v>4</v>
      </c>
      <c r="E5" t="s">
        <v>43</v>
      </c>
      <c r="F5" s="14">
        <f t="shared" si="1"/>
        <v>104701.86720000001</v>
      </c>
      <c r="I5">
        <f t="shared" si="2"/>
        <v>889</v>
      </c>
      <c r="J5" s="5">
        <v>39787</v>
      </c>
      <c r="K5" s="6">
        <v>392.47699999999998</v>
      </c>
      <c r="L5" s="14">
        <f t="shared" si="3"/>
        <v>95100.213599999988</v>
      </c>
    </row>
    <row r="6" spans="1:12" x14ac:dyDescent="0.15">
      <c r="A6">
        <f t="shared" si="0"/>
        <v>1224</v>
      </c>
      <c r="B6" s="4">
        <v>39939</v>
      </c>
      <c r="C6">
        <v>356.29039999999998</v>
      </c>
      <c r="D6">
        <v>9.9</v>
      </c>
      <c r="E6" t="s">
        <v>43</v>
      </c>
      <c r="F6" s="14">
        <f t="shared" si="1"/>
        <v>49259.719199999992</v>
      </c>
      <c r="I6">
        <f t="shared" si="2"/>
        <v>1285</v>
      </c>
      <c r="J6" s="5">
        <v>40183</v>
      </c>
      <c r="K6" s="6">
        <v>411.70839999999998</v>
      </c>
      <c r="L6" s="14">
        <f t="shared" si="3"/>
        <v>116565.66899999999</v>
      </c>
    </row>
    <row r="7" spans="1:12" x14ac:dyDescent="0.15">
      <c r="A7">
        <f t="shared" si="0"/>
        <v>1468</v>
      </c>
      <c r="B7" s="4">
        <v>40183</v>
      </c>
      <c r="C7">
        <v>388.00029999999998</v>
      </c>
      <c r="D7">
        <v>8.9</v>
      </c>
      <c r="E7" t="s">
        <v>43</v>
      </c>
      <c r="F7" s="14">
        <f t="shared" si="1"/>
        <v>86934.857599999988</v>
      </c>
      <c r="I7">
        <f t="shared" si="2"/>
        <v>1625</v>
      </c>
      <c r="J7" s="5">
        <v>40523</v>
      </c>
      <c r="K7" s="6">
        <v>428.17630000000003</v>
      </c>
      <c r="L7" s="14">
        <f t="shared" si="3"/>
        <v>104985.64199999999</v>
      </c>
    </row>
    <row r="8" spans="1:12" x14ac:dyDescent="0.15">
      <c r="A8">
        <f t="shared" si="0"/>
        <v>1808</v>
      </c>
      <c r="B8" s="4">
        <v>40523</v>
      </c>
      <c r="C8">
        <v>415.15570000000002</v>
      </c>
      <c r="D8">
        <v>7</v>
      </c>
      <c r="E8" t="s">
        <v>43</v>
      </c>
      <c r="F8" s="14">
        <f t="shared" si="1"/>
        <v>131920.10199999998</v>
      </c>
      <c r="I8">
        <f t="shared" si="2"/>
        <v>1978</v>
      </c>
      <c r="J8" s="5">
        <v>40876</v>
      </c>
      <c r="K8" s="6">
        <v>453.86689999999999</v>
      </c>
      <c r="L8" s="14">
        <f t="shared" si="3"/>
        <v>113359.67542500002</v>
      </c>
    </row>
    <row r="9" spans="1:12" x14ac:dyDescent="0.15">
      <c r="A9">
        <f t="shared" si="0"/>
        <v>2161</v>
      </c>
      <c r="B9" s="4">
        <v>40876</v>
      </c>
      <c r="C9">
        <v>440.06509999999997</v>
      </c>
      <c r="D9">
        <v>6</v>
      </c>
      <c r="E9" t="s">
        <v>43</v>
      </c>
      <c r="F9" s="14">
        <f t="shared" si="1"/>
        <v>146549.9621</v>
      </c>
      <c r="I9">
        <f t="shared" si="2"/>
        <v>2316</v>
      </c>
      <c r="J9" s="5">
        <v>41214</v>
      </c>
      <c r="K9" s="6">
        <v>481.09879999999998</v>
      </c>
      <c r="L9" s="14">
        <f t="shared" si="3"/>
        <v>115055.25915</v>
      </c>
    </row>
    <row r="10" spans="1:12" x14ac:dyDescent="0.15">
      <c r="A10">
        <f t="shared" si="0"/>
        <v>2499</v>
      </c>
      <c r="B10" s="4">
        <v>41214</v>
      </c>
      <c r="C10">
        <v>466.46910000000003</v>
      </c>
      <c r="D10">
        <v>6</v>
      </c>
      <c r="E10" t="s">
        <v>43</v>
      </c>
      <c r="F10" s="14">
        <f t="shared" si="1"/>
        <v>148742.00379999998</v>
      </c>
      <c r="I10">
        <f t="shared" si="2"/>
        <v>2465</v>
      </c>
      <c r="J10" s="5">
        <v>41363</v>
      </c>
      <c r="K10" s="6">
        <v>495.53179999999998</v>
      </c>
      <c r="L10" s="14">
        <f t="shared" si="3"/>
        <v>53762.7909</v>
      </c>
    </row>
    <row r="11" spans="1:12" x14ac:dyDescent="0.15">
      <c r="A11">
        <f t="shared" si="0"/>
        <v>2648</v>
      </c>
      <c r="B11" s="4">
        <v>41363</v>
      </c>
      <c r="C11">
        <v>480.4631</v>
      </c>
      <c r="D11">
        <v>3</v>
      </c>
      <c r="E11" t="s">
        <v>43</v>
      </c>
      <c r="F11" s="14">
        <f t="shared" si="1"/>
        <v>69503.895900000003</v>
      </c>
      <c r="I11">
        <f t="shared" si="2"/>
        <v>2650</v>
      </c>
      <c r="J11" s="5">
        <v>41548</v>
      </c>
      <c r="K11" s="6">
        <v>510.39780000000002</v>
      </c>
      <c r="L11" s="14">
        <f t="shared" si="3"/>
        <v>68755.037249999994</v>
      </c>
    </row>
    <row r="12" spans="1:12" x14ac:dyDescent="0.15">
      <c r="A12">
        <f t="shared" si="0"/>
        <v>2833</v>
      </c>
      <c r="B12" s="4">
        <v>41548</v>
      </c>
      <c r="C12">
        <v>494.87700000000001</v>
      </c>
      <c r="D12">
        <v>3</v>
      </c>
      <c r="E12" t="s">
        <v>43</v>
      </c>
      <c r="F12" s="14">
        <f t="shared" si="1"/>
        <v>88885.673500000004</v>
      </c>
      <c r="I12">
        <f t="shared" si="2"/>
        <v>2806</v>
      </c>
      <c r="J12" s="5">
        <v>41704</v>
      </c>
      <c r="K12" s="6">
        <v>530.81380000000001</v>
      </c>
      <c r="L12" s="14">
        <f t="shared" si="3"/>
        <v>59716.542600000001</v>
      </c>
    </row>
    <row r="13" spans="1:12" x14ac:dyDescent="0.15">
      <c r="A13">
        <f t="shared" si="0"/>
        <v>2989</v>
      </c>
      <c r="B13" s="4">
        <v>41704</v>
      </c>
      <c r="C13">
        <v>514.6721</v>
      </c>
      <c r="D13">
        <v>4</v>
      </c>
      <c r="E13" t="s">
        <v>43</v>
      </c>
      <c r="F13" s="14">
        <f t="shared" si="1"/>
        <v>77200.812000000005</v>
      </c>
      <c r="I13">
        <f t="shared" si="2"/>
        <v>2987</v>
      </c>
      <c r="J13" s="5">
        <v>41885</v>
      </c>
      <c r="K13" s="6">
        <v>546.73199999999997</v>
      </c>
      <c r="L13" s="14">
        <f t="shared" si="3"/>
        <v>72057.97335</v>
      </c>
    </row>
    <row r="14" spans="1:12" x14ac:dyDescent="0.15">
      <c r="A14">
        <f t="shared" si="0"/>
        <v>3170</v>
      </c>
      <c r="B14" s="4">
        <v>41885</v>
      </c>
      <c r="C14">
        <v>546.73199999999997</v>
      </c>
      <c r="D14">
        <v>6.2</v>
      </c>
      <c r="E14" t="s">
        <v>43</v>
      </c>
      <c r="F14" s="14">
        <f t="shared" si="1"/>
        <v>93155.650099999999</v>
      </c>
      <c r="I14">
        <f t="shared" si="2"/>
        <v>3098</v>
      </c>
      <c r="J14" s="5">
        <v>41996</v>
      </c>
      <c r="K14" s="6">
        <v>563.13390000000004</v>
      </c>
      <c r="L14" s="14">
        <f t="shared" si="3"/>
        <v>45515.438999999998</v>
      </c>
    </row>
    <row r="15" spans="1:12" x14ac:dyDescent="0.15">
      <c r="A15">
        <f t="shared" si="0"/>
        <v>3281</v>
      </c>
      <c r="B15" s="4">
        <v>41996</v>
      </c>
      <c r="C15">
        <v>563.13390000000004</v>
      </c>
      <c r="D15">
        <v>3</v>
      </c>
      <c r="E15" t="s">
        <v>43</v>
      </c>
      <c r="F15" s="14">
        <f t="shared" si="1"/>
        <v>60687.251999999993</v>
      </c>
      <c r="I15">
        <f t="shared" si="2"/>
        <v>3282</v>
      </c>
      <c r="J15" s="5">
        <v>42180</v>
      </c>
      <c r="K15" s="6">
        <v>580.02790000000005</v>
      </c>
      <c r="L15" s="14">
        <f t="shared" si="3"/>
        <v>77712.478199999998</v>
      </c>
    </row>
    <row r="16" spans="1:12" x14ac:dyDescent="0.15">
      <c r="A16">
        <f t="shared" si="0"/>
        <v>3465</v>
      </c>
      <c r="B16" s="4">
        <v>42180</v>
      </c>
      <c r="C16">
        <v>580.02790000000005</v>
      </c>
      <c r="D16">
        <v>3</v>
      </c>
      <c r="E16" t="s">
        <v>43</v>
      </c>
      <c r="F16" s="14">
        <f t="shared" si="1"/>
        <v>103616.6376</v>
      </c>
      <c r="I16">
        <f t="shared" si="2"/>
        <v>3381</v>
      </c>
      <c r="J16" s="5">
        <v>42279</v>
      </c>
      <c r="K16" s="6">
        <v>603.22910000000002</v>
      </c>
      <c r="L16" s="14">
        <f t="shared" si="3"/>
        <v>43067.071575000009</v>
      </c>
    </row>
    <row r="17" spans="1:12" x14ac:dyDescent="0.15">
      <c r="A17">
        <f t="shared" si="0"/>
        <v>3564</v>
      </c>
      <c r="B17" s="4">
        <v>42279</v>
      </c>
      <c r="C17">
        <v>603.22910000000002</v>
      </c>
      <c r="D17">
        <v>4</v>
      </c>
      <c r="E17" t="s">
        <v>43</v>
      </c>
      <c r="F17" s="14">
        <f t="shared" si="1"/>
        <v>57422.762100000007</v>
      </c>
      <c r="I17">
        <f t="shared" si="2"/>
        <v>3541</v>
      </c>
      <c r="J17" s="5">
        <v>42439</v>
      </c>
      <c r="K17" s="6">
        <v>644.24869999999999</v>
      </c>
      <c r="L17" s="14">
        <f t="shared" si="3"/>
        <v>72387.491999999998</v>
      </c>
    </row>
    <row r="18" spans="1:12" x14ac:dyDescent="0.15">
      <c r="A18">
        <f t="shared" si="0"/>
        <v>3724</v>
      </c>
      <c r="B18" s="4">
        <v>42439</v>
      </c>
      <c r="C18">
        <v>644.24869999999999</v>
      </c>
      <c r="D18">
        <v>6.8</v>
      </c>
      <c r="E18" t="s">
        <v>43</v>
      </c>
      <c r="F18" s="14">
        <f t="shared" si="1"/>
        <v>96516.656000000003</v>
      </c>
      <c r="I18">
        <f t="shared" si="2"/>
        <v>3704</v>
      </c>
      <c r="J18" s="5">
        <v>42602</v>
      </c>
      <c r="K18" s="6">
        <v>663.57619999999997</v>
      </c>
      <c r="L18" s="14">
        <f t="shared" si="3"/>
        <v>78759.403574999989</v>
      </c>
    </row>
    <row r="19" spans="1:12" x14ac:dyDescent="0.15">
      <c r="A19">
        <f t="shared" si="0"/>
        <v>3887</v>
      </c>
      <c r="B19" s="4">
        <v>42602</v>
      </c>
      <c r="C19">
        <v>663.57619999999997</v>
      </c>
      <c r="D19">
        <v>3</v>
      </c>
      <c r="E19" t="s">
        <v>43</v>
      </c>
      <c r="F19" s="14">
        <f t="shared" si="1"/>
        <v>105012.53809999999</v>
      </c>
      <c r="I19">
        <f t="shared" si="2"/>
        <v>3848</v>
      </c>
      <c r="J19" s="5">
        <v>42746</v>
      </c>
      <c r="K19" s="6">
        <v>716.66219999999998</v>
      </c>
      <c r="L19" s="14">
        <f t="shared" si="3"/>
        <v>71666.229599999991</v>
      </c>
    </row>
    <row r="20" spans="1:12" x14ac:dyDescent="0.15">
      <c r="A20">
        <f t="shared" si="0"/>
        <v>4031</v>
      </c>
      <c r="B20" s="4">
        <v>42746</v>
      </c>
      <c r="C20">
        <v>716.66219999999998</v>
      </c>
      <c r="D20">
        <v>8</v>
      </c>
      <c r="E20" t="s">
        <v>43</v>
      </c>
      <c r="F20" s="14">
        <f t="shared" si="1"/>
        <v>95554.972799999989</v>
      </c>
      <c r="I20">
        <f t="shared" si="2"/>
        <v>4029</v>
      </c>
      <c r="J20" s="5">
        <v>42927</v>
      </c>
      <c r="K20" s="6">
        <v>729.2038</v>
      </c>
      <c r="L20" s="14">
        <f t="shared" si="3"/>
        <v>97286.893649999998</v>
      </c>
    </row>
    <row r="21" spans="1:12" x14ac:dyDescent="0.15">
      <c r="A21">
        <f t="shared" si="0"/>
        <v>4212</v>
      </c>
      <c r="B21" s="4">
        <v>42927</v>
      </c>
      <c r="C21">
        <v>729.2038</v>
      </c>
      <c r="D21">
        <v>1.8</v>
      </c>
      <c r="E21" t="s">
        <v>43</v>
      </c>
      <c r="F21" s="14">
        <f t="shared" si="1"/>
        <v>129715.8582</v>
      </c>
      <c r="I21">
        <f t="shared" si="2"/>
        <v>4130</v>
      </c>
      <c r="J21" s="5">
        <v>43028</v>
      </c>
      <c r="K21" s="6">
        <v>794.83209999999997</v>
      </c>
      <c r="L21" s="14">
        <f t="shared" si="3"/>
        <v>55237.187849999995</v>
      </c>
    </row>
    <row r="22" spans="1:12" x14ac:dyDescent="0.15">
      <c r="A22">
        <f t="shared" si="0"/>
        <v>4313</v>
      </c>
      <c r="B22" s="4">
        <v>43028</v>
      </c>
      <c r="C22">
        <v>794.83209999999997</v>
      </c>
      <c r="D22">
        <v>9</v>
      </c>
      <c r="E22" t="s">
        <v>43</v>
      </c>
      <c r="F22" s="14">
        <f t="shared" si="1"/>
        <v>73649.583799999993</v>
      </c>
      <c r="I22">
        <f t="shared" si="2"/>
        <v>4393</v>
      </c>
      <c r="J22" s="5">
        <v>43291</v>
      </c>
      <c r="K22" s="6">
        <v>834.57380000000001</v>
      </c>
      <c r="L22" s="14">
        <f t="shared" si="3"/>
        <v>156780.63172499998</v>
      </c>
    </row>
    <row r="23" spans="1:12" x14ac:dyDescent="0.15">
      <c r="A23">
        <f t="shared" si="0"/>
        <v>4576</v>
      </c>
      <c r="B23" s="4">
        <v>43291</v>
      </c>
      <c r="C23">
        <v>834.57380000000001</v>
      </c>
      <c r="D23">
        <v>5</v>
      </c>
      <c r="E23" t="s">
        <v>43</v>
      </c>
      <c r="F23" s="14">
        <f t="shared" si="1"/>
        <v>209040.84229999999</v>
      </c>
      <c r="I23">
        <f t="shared" si="2"/>
        <v>4570</v>
      </c>
      <c r="J23" s="5">
        <v>43468</v>
      </c>
      <c r="K23" s="6">
        <v>863.78380000000004</v>
      </c>
      <c r="L23" s="14">
        <f t="shared" si="3"/>
        <v>110789.67195</v>
      </c>
    </row>
    <row r="24" spans="1:12" x14ac:dyDescent="0.15">
      <c r="A24">
        <f t="shared" si="0"/>
        <v>4753</v>
      </c>
      <c r="B24" s="4">
        <v>43468</v>
      </c>
      <c r="C24">
        <v>863.78380000000004</v>
      </c>
      <c r="D24">
        <v>3.5</v>
      </c>
      <c r="E24" t="s">
        <v>43</v>
      </c>
      <c r="F24" s="14">
        <f t="shared" si="1"/>
        <v>147719.5626</v>
      </c>
      <c r="I24">
        <f t="shared" si="2"/>
        <v>4933</v>
      </c>
      <c r="J24" s="5">
        <v>43831</v>
      </c>
      <c r="K24" s="6">
        <v>915.61080000000004</v>
      </c>
      <c r="L24" s="14">
        <f t="shared" si="3"/>
        <v>235165.13954999999</v>
      </c>
    </row>
    <row r="25" spans="1:12" x14ac:dyDescent="0.15">
      <c r="A25">
        <f t="shared" si="0"/>
        <v>5116</v>
      </c>
      <c r="B25" s="4">
        <v>43831</v>
      </c>
      <c r="C25">
        <v>915.61080000000004</v>
      </c>
      <c r="D25">
        <v>6</v>
      </c>
      <c r="E25" t="s">
        <v>43</v>
      </c>
      <c r="F25" s="14">
        <f t="shared" si="1"/>
        <v>313553.51939999999</v>
      </c>
      <c r="I25">
        <f t="shared" si="2"/>
        <v>5299</v>
      </c>
      <c r="J25" s="5">
        <v>44197</v>
      </c>
      <c r="K25" s="6">
        <v>956.81330000000003</v>
      </c>
      <c r="L25" s="14">
        <f t="shared" si="3"/>
        <v>251335.16460000002</v>
      </c>
    </row>
    <row r="26" spans="1:12" x14ac:dyDescent="0.15">
      <c r="A26">
        <f t="shared" si="0"/>
        <v>5482</v>
      </c>
      <c r="B26" s="4">
        <v>44197</v>
      </c>
      <c r="C26">
        <v>956.81330000000003</v>
      </c>
      <c r="D26">
        <v>4.5</v>
      </c>
      <c r="E26" t="s">
        <v>43</v>
      </c>
      <c r="F26" s="14">
        <f t="shared" si="1"/>
        <v>335113.5528</v>
      </c>
      <c r="I26">
        <f t="shared" si="2"/>
        <v>5664</v>
      </c>
      <c r="J26" s="5">
        <v>44562</v>
      </c>
      <c r="K26" s="6">
        <v>999.86990000000003</v>
      </c>
      <c r="L26" s="14">
        <f t="shared" si="3"/>
        <v>261927.64087500001</v>
      </c>
    </row>
    <row r="27" spans="1:12" x14ac:dyDescent="0.15">
      <c r="A27">
        <f t="shared" si="0"/>
        <v>5847</v>
      </c>
      <c r="B27" s="4">
        <v>44562</v>
      </c>
      <c r="C27">
        <v>999.86990000000003</v>
      </c>
      <c r="D27">
        <v>4.5</v>
      </c>
      <c r="E27" t="s">
        <v>43</v>
      </c>
      <c r="F27" s="14">
        <f t="shared" si="1"/>
        <v>349236.85450000002</v>
      </c>
      <c r="I27">
        <f t="shared" si="2"/>
        <v>6576</v>
      </c>
      <c r="J27" s="5">
        <v>45474</v>
      </c>
      <c r="K27" s="6">
        <v>1069.8607999999999</v>
      </c>
      <c r="L27" s="14">
        <f t="shared" si="3"/>
        <v>683911.01160000009</v>
      </c>
    </row>
    <row r="28" spans="1:12" x14ac:dyDescent="0.15">
      <c r="A28">
        <f t="shared" si="0"/>
        <v>6759</v>
      </c>
      <c r="B28" s="4">
        <v>45474</v>
      </c>
      <c r="C28">
        <v>1069.8607999999999</v>
      </c>
      <c r="D28">
        <v>7</v>
      </c>
      <c r="E28" t="s">
        <v>43</v>
      </c>
      <c r="F28" s="14">
        <f t="shared" si="1"/>
        <v>911881.34880000004</v>
      </c>
      <c r="L28" s="14">
        <f>SUM(L3:L27)</f>
        <v>3190371.4490250004</v>
      </c>
    </row>
    <row r="29" spans="1:12" x14ac:dyDescent="0.15">
      <c r="F29" s="14">
        <f>SUM(F3:F28)</f>
        <v>4184554.8563999999</v>
      </c>
      <c r="G29">
        <f>F29*0.75</f>
        <v>3138416.1422999999</v>
      </c>
    </row>
  </sheetData>
  <sortState xmlns:xlrd2="http://schemas.microsoft.com/office/spreadsheetml/2017/richdata2" ref="J2:K27">
    <sortCondition ref="J2:J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Manufacturer Info</vt:lpstr>
      <vt:lpstr>REDBOOKSearchResults</vt:lpstr>
      <vt:lpstr>Revlimid_Price_Csv</vt:lpstr>
      <vt:lpstr>Sheet3</vt:lpstr>
      <vt:lpstr>Sheet2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commons1</dc:creator>
  <cp:lastModifiedBy>David Landerman</cp:lastModifiedBy>
  <dcterms:created xsi:type="dcterms:W3CDTF">2026-01-13T16:34:06Z</dcterms:created>
  <dcterms:modified xsi:type="dcterms:W3CDTF">2026-01-14T01:30:15Z</dcterms:modified>
</cp:coreProperties>
</file>