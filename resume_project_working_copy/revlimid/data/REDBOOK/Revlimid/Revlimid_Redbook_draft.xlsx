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anderman/UMD Drive/Github/david-landerman-jour352/final_project/data/REDBOOK/Revlimid/"/>
    </mc:Choice>
  </mc:AlternateContent>
  <xr:revisionPtr revIDLastSave="0" documentId="8_{484E3485-77B4-DD42-AC44-F3713E43374B}" xr6:coauthVersionLast="47" xr6:coauthVersionMax="47" xr10:uidLastSave="{00000000-0000-0000-0000-000000000000}"/>
  <bookViews>
    <workbookView xWindow="0" yWindow="1420" windowWidth="30240" windowHeight="17180" activeTab="3" xr2:uid="{B90FBC4A-BEF1-644E-9F5F-9E6B97268A29}"/>
  </bookViews>
  <sheets>
    <sheet name="REDBOOK" sheetId="1" r:id="rId1"/>
    <sheet name="STOCK" sheetId="2" r:id="rId2"/>
    <sheet name="MEDICARE D" sheetId="3" r:id="rId3"/>
    <sheet name="Medicare Cost" sheetId="4" r:id="rId4"/>
    <sheet name="Sheet1" sheetId="6" r:id="rId5"/>
    <sheet name="Datawrapper Graph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6" i="5" s="1"/>
  <c r="C7" i="5" s="1"/>
  <c r="C9" i="5" s="1"/>
  <c r="C10" i="5" s="1"/>
  <c r="C11" i="5" s="1"/>
  <c r="C3" i="5"/>
  <c r="D9" i="5"/>
  <c r="D10" i="5"/>
  <c r="D13" i="5"/>
  <c r="B36" i="4"/>
  <c r="D15" i="5" s="1"/>
  <c r="B35" i="4"/>
  <c r="D14" i="5" s="1"/>
  <c r="B34" i="4"/>
  <c r="B33" i="4"/>
  <c r="D12" i="5" s="1"/>
  <c r="B32" i="4"/>
  <c r="D11" i="5" s="1"/>
  <c r="B31" i="4"/>
  <c r="B30" i="4"/>
  <c r="B29" i="4"/>
  <c r="D8" i="5" s="1"/>
  <c r="B28" i="4"/>
  <c r="D7" i="5" s="1"/>
  <c r="B27" i="4"/>
  <c r="D6" i="5" s="1"/>
  <c r="B26" i="4"/>
  <c r="D5" i="5" s="1"/>
  <c r="A32" i="4"/>
  <c r="A33" i="4" s="1"/>
  <c r="A34" i="4" s="1"/>
  <c r="A35" i="4" s="1"/>
  <c r="A36" i="4" s="1"/>
  <c r="A30" i="4"/>
  <c r="A31" i="4" s="1"/>
  <c r="A29" i="4"/>
  <c r="B24" i="4"/>
  <c r="D3" i="5" s="1"/>
  <c r="B25" i="4"/>
  <c r="D4" i="5" s="1"/>
  <c r="B23" i="4"/>
  <c r="D2" i="5" s="1"/>
  <c r="A27" i="4"/>
  <c r="A24" i="4"/>
  <c r="A25" i="4"/>
  <c r="A26" i="4"/>
  <c r="A23" i="4"/>
  <c r="O16" i="1"/>
  <c r="O24" i="1"/>
  <c r="O3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2" i="2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A34" i="1"/>
  <c r="A33" i="1" s="1"/>
  <c r="A32" i="1" s="1"/>
  <c r="A31" i="1" s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H4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9" i="1"/>
  <c r="C39" i="1"/>
  <c r="B38" i="1"/>
  <c r="B9" i="1"/>
  <c r="B10" i="1"/>
  <c r="O9" i="1" s="1"/>
  <c r="B11" i="1"/>
  <c r="B12" i="1"/>
  <c r="B13" i="1"/>
  <c r="B14" i="1"/>
  <c r="O14" i="1" s="1"/>
  <c r="B15" i="1"/>
  <c r="B16" i="1"/>
  <c r="B17" i="1"/>
  <c r="B18" i="1"/>
  <c r="O17" i="1" s="1"/>
  <c r="B19" i="1"/>
  <c r="B20" i="1"/>
  <c r="B21" i="1"/>
  <c r="B22" i="1"/>
  <c r="O22" i="1" s="1"/>
  <c r="B23" i="1"/>
  <c r="B24" i="1"/>
  <c r="B25" i="1"/>
  <c r="B26" i="1"/>
  <c r="O25" i="1" s="1"/>
  <c r="B27" i="1"/>
  <c r="B28" i="1"/>
  <c r="B29" i="1"/>
  <c r="B30" i="1"/>
  <c r="O30" i="1" s="1"/>
  <c r="B31" i="1"/>
  <c r="B32" i="1"/>
  <c r="B33" i="1"/>
  <c r="B34" i="1"/>
  <c r="O33" i="1" s="1"/>
  <c r="O31" i="1" l="1"/>
  <c r="O23" i="1"/>
  <c r="O15" i="1"/>
  <c r="O29" i="1"/>
  <c r="O21" i="1"/>
  <c r="O13" i="1"/>
  <c r="O28" i="1"/>
  <c r="O20" i="1"/>
  <c r="O12" i="1"/>
  <c r="O27" i="1"/>
  <c r="O19" i="1"/>
  <c r="O11" i="1"/>
  <c r="O36" i="1" s="1"/>
  <c r="O34" i="1"/>
  <c r="O26" i="1"/>
  <c r="O18" i="1"/>
  <c r="O10" i="1"/>
  <c r="C12" i="5"/>
  <c r="C13" i="5" s="1"/>
  <c r="C14" i="5" s="1"/>
  <c r="C15" i="5" s="1"/>
  <c r="G10" i="1" a="1"/>
  <c r="G10" i="1" s="1"/>
  <c r="M10" i="1" s="1"/>
  <c r="G9" i="1" a="1"/>
  <c r="G9" i="1" s="1"/>
  <c r="M9" i="1" s="1"/>
  <c r="G34" i="1" a="1"/>
  <c r="G34" i="1" s="1"/>
  <c r="M34" i="1" s="1"/>
  <c r="G33" i="1" a="1"/>
  <c r="G33" i="1" s="1"/>
  <c r="G32" i="1" a="1"/>
  <c r="G32" i="1" s="1"/>
  <c r="M32" i="1" s="1"/>
  <c r="G26" i="1" a="1"/>
  <c r="G26" i="1" s="1"/>
  <c r="M26" i="1" s="1"/>
  <c r="G31" i="1" a="1"/>
  <c r="G31" i="1" s="1"/>
  <c r="M31" i="1" s="1"/>
  <c r="G23" i="1" a="1"/>
  <c r="G23" i="1" s="1"/>
  <c r="M23" i="1" s="1"/>
  <c r="G15" i="1" a="1"/>
  <c r="G15" i="1" s="1"/>
  <c r="M15" i="1" s="1"/>
  <c r="B39" i="1"/>
  <c r="D39" i="1" s="1" a="1"/>
  <c r="D39" i="1" s="1"/>
  <c r="C40" i="1"/>
  <c r="G30" i="1" a="1"/>
  <c r="G30" i="1" s="1"/>
  <c r="G22" i="1" a="1"/>
  <c r="G22" i="1" s="1"/>
  <c r="M22" i="1" s="1"/>
  <c r="G14" i="1" a="1"/>
  <c r="G14" i="1" s="1"/>
  <c r="G28" i="1" a="1"/>
  <c r="G28" i="1" s="1"/>
  <c r="M28" i="1" s="1"/>
  <c r="G20" i="1" a="1"/>
  <c r="G20" i="1" s="1"/>
  <c r="M20" i="1" s="1"/>
  <c r="G12" i="1" a="1"/>
  <c r="G12" i="1" s="1"/>
  <c r="M12" i="1" s="1"/>
  <c r="H30" i="1" l="1"/>
  <c r="M30" i="1"/>
  <c r="H33" i="1"/>
  <c r="M33" i="1"/>
  <c r="H14" i="1"/>
  <c r="M14" i="1"/>
  <c r="H31" i="1"/>
  <c r="H22" i="1"/>
  <c r="H9" i="1"/>
  <c r="B40" i="1"/>
  <c r="D40" i="1" s="1" a="1"/>
  <c r="D40" i="1" s="1"/>
  <c r="C41" i="1"/>
  <c r="H32" i="1"/>
  <c r="C42" i="1" l="1"/>
  <c r="B41" i="1"/>
  <c r="D41" i="1" s="1" a="1"/>
  <c r="D41" i="1" s="1"/>
  <c r="C43" i="1" l="1"/>
  <c r="B42" i="1"/>
  <c r="D42" i="1" s="1" a="1"/>
  <c r="D42" i="1" s="1"/>
  <c r="C44" i="1" l="1"/>
  <c r="B43" i="1"/>
  <c r="D43" i="1" s="1" a="1"/>
  <c r="D43" i="1" s="1"/>
  <c r="C45" i="1" l="1"/>
  <c r="B44" i="1"/>
  <c r="D44" i="1" s="1" a="1"/>
  <c r="D44" i="1" s="1"/>
  <c r="C46" i="1" l="1"/>
  <c r="B45" i="1"/>
  <c r="D45" i="1" s="1" a="1"/>
  <c r="D45" i="1" s="1"/>
  <c r="C47" i="1" l="1"/>
  <c r="B46" i="1"/>
  <c r="D46" i="1" s="1" a="1"/>
  <c r="D46" i="1" s="1"/>
  <c r="C48" i="1" l="1"/>
  <c r="B47" i="1"/>
  <c r="D47" i="1" s="1" a="1"/>
  <c r="D47" i="1" s="1"/>
  <c r="B48" i="1" l="1"/>
  <c r="D48" i="1" s="1" a="1"/>
  <c r="D48" i="1" s="1"/>
  <c r="C49" i="1"/>
  <c r="C50" i="1" l="1"/>
  <c r="B49" i="1"/>
  <c r="D49" i="1" s="1" a="1"/>
  <c r="D49" i="1" s="1"/>
  <c r="B50" i="1" l="1"/>
  <c r="D50" i="1" s="1" a="1"/>
  <c r="D50" i="1" s="1"/>
  <c r="C51" i="1"/>
  <c r="C52" i="1" l="1"/>
  <c r="B51" i="1"/>
  <c r="D51" i="1" s="1" a="1"/>
  <c r="D51" i="1" s="1"/>
  <c r="B52" i="1" l="1"/>
  <c r="D52" i="1" s="1" a="1"/>
  <c r="D52" i="1" s="1"/>
  <c r="C53" i="1"/>
  <c r="B53" i="1" l="1"/>
  <c r="D53" i="1" s="1" a="1"/>
  <c r="D53" i="1" s="1"/>
  <c r="C54" i="1"/>
  <c r="B54" i="1" l="1"/>
  <c r="D54" i="1" s="1" a="1"/>
  <c r="D54" i="1" s="1"/>
  <c r="C55" i="1"/>
  <c r="C56" i="1" l="1"/>
  <c r="B55" i="1"/>
  <c r="D55" i="1" s="1" a="1"/>
  <c r="D55" i="1" s="1"/>
  <c r="B56" i="1" l="1"/>
  <c r="D56" i="1" s="1" a="1"/>
  <c r="D56" i="1" s="1"/>
  <c r="C57" i="1"/>
  <c r="B57" i="1" l="1"/>
  <c r="D57" i="1" s="1" a="1"/>
  <c r="D57" i="1" s="1"/>
  <c r="C58" i="1"/>
  <c r="B58" i="1" l="1"/>
  <c r="D58" i="1" s="1" a="1"/>
  <c r="D58" i="1" s="1"/>
  <c r="C59" i="1"/>
  <c r="C60" i="1" l="1"/>
  <c r="B60" i="1" s="1"/>
  <c r="D60" i="1" s="1" a="1"/>
  <c r="D60" i="1" s="1"/>
  <c r="B59" i="1"/>
  <c r="D59" i="1" s="1" a="1"/>
  <c r="D59" i="1" s="1"/>
  <c r="I48" i="1" a="1"/>
  <c r="I48" i="1" s="1"/>
  <c r="G39" i="1" a="1"/>
  <c r="G39" i="1" s="1"/>
  <c r="G11" i="1" a="1"/>
  <c r="G11" i="1" s="1"/>
  <c r="M11" i="1" s="1"/>
  <c r="G27" i="1" a="1"/>
  <c r="G27" i="1" s="1"/>
  <c r="M27" i="1" s="1"/>
  <c r="G13" i="1" a="1"/>
  <c r="G13" i="1" s="1"/>
  <c r="M13" i="1" s="1"/>
  <c r="G29" i="1" a="1"/>
  <c r="G29" i="1" s="1"/>
  <c r="M29" i="1" s="1"/>
  <c r="G21" i="1" a="1"/>
  <c r="G21" i="1" s="1"/>
  <c r="M21" i="1" s="1"/>
  <c r="G19" i="1" a="1"/>
  <c r="G19" i="1" s="1"/>
  <c r="M19" i="1" s="1"/>
  <c r="D38" i="1" a="1"/>
  <c r="D38" i="1" s="1"/>
  <c r="H29" i="1" l="1"/>
  <c r="H28" i="1"/>
  <c r="H12" i="1"/>
  <c r="H13" i="1"/>
  <c r="H27" i="1"/>
  <c r="H26" i="1"/>
  <c r="H11" i="1"/>
  <c r="H10" i="1"/>
  <c r="I13" i="1"/>
  <c r="J13" i="1" s="1"/>
  <c r="N13" i="1" s="1"/>
  <c r="I31" i="1"/>
  <c r="J31" i="1" s="1"/>
  <c r="N31" i="1" s="1"/>
  <c r="I25" i="1"/>
  <c r="I23" i="1"/>
  <c r="J23" i="1" s="1"/>
  <c r="N23" i="1" s="1"/>
  <c r="I27" i="1"/>
  <c r="J27" i="1" s="1"/>
  <c r="N27" i="1" s="1"/>
  <c r="I26" i="1"/>
  <c r="J26" i="1" s="1"/>
  <c r="N26" i="1" s="1"/>
  <c r="I34" i="1"/>
  <c r="J34" i="1" s="1"/>
  <c r="N34" i="1" s="1"/>
  <c r="I21" i="1"/>
  <c r="J21" i="1" s="1"/>
  <c r="N21" i="1" s="1"/>
  <c r="I16" i="1"/>
  <c r="I9" i="1"/>
  <c r="J9" i="1" s="1"/>
  <c r="N9" i="1" s="1"/>
  <c r="I33" i="1"/>
  <c r="J33" i="1" s="1"/>
  <c r="N33" i="1" s="1"/>
  <c r="I15" i="1"/>
  <c r="J15" i="1" s="1"/>
  <c r="N15" i="1" s="1"/>
  <c r="I11" i="1"/>
  <c r="J11" i="1" s="1"/>
  <c r="N11" i="1" s="1"/>
  <c r="I17" i="1"/>
  <c r="I30" i="1"/>
  <c r="J30" i="1" s="1"/>
  <c r="N30" i="1" s="1"/>
  <c r="I28" i="1"/>
  <c r="J28" i="1" s="1"/>
  <c r="N28" i="1" s="1"/>
  <c r="G48" i="1"/>
  <c r="I22" i="1"/>
  <c r="J22" i="1" s="1"/>
  <c r="N22" i="1" s="1"/>
  <c r="I12" i="1"/>
  <c r="J12" i="1" s="1"/>
  <c r="N12" i="1" s="1"/>
  <c r="I19" i="1"/>
  <c r="J19" i="1" s="1"/>
  <c r="N19" i="1" s="1"/>
  <c r="I32" i="1"/>
  <c r="J32" i="1" s="1"/>
  <c r="N32" i="1" s="1"/>
  <c r="I14" i="1"/>
  <c r="J14" i="1" s="1"/>
  <c r="N14" i="1" s="1"/>
  <c r="I10" i="1"/>
  <c r="J10" i="1" s="1"/>
  <c r="N10" i="1" s="1"/>
  <c r="I29" i="1"/>
  <c r="J29" i="1" s="1"/>
  <c r="N29" i="1" s="1"/>
  <c r="I24" i="1"/>
  <c r="I18" i="1"/>
  <c r="I35" i="1"/>
  <c r="I20" i="1"/>
  <c r="J20" i="1" s="1"/>
  <c r="N20" i="1" s="1"/>
  <c r="H19" i="1"/>
  <c r="H20" i="1"/>
  <c r="H21" i="1"/>
  <c r="K27" i="1" l="1"/>
  <c r="L27" i="1"/>
  <c r="K19" i="1"/>
  <c r="L19" i="1"/>
  <c r="L29" i="1"/>
  <c r="K29" i="1"/>
  <c r="K15" i="1"/>
  <c r="L31" i="1"/>
  <c r="K31" i="1"/>
  <c r="K28" i="1"/>
  <c r="L28" i="1"/>
  <c r="K11" i="1"/>
  <c r="L11" i="1"/>
  <c r="L12" i="1"/>
  <c r="K12" i="1"/>
  <c r="K9" i="1"/>
  <c r="L9" i="1"/>
  <c r="K13" i="1"/>
  <c r="L13" i="1"/>
  <c r="K21" i="1"/>
  <c r="L21" i="1"/>
  <c r="L10" i="1"/>
  <c r="K10" i="1"/>
  <c r="L30" i="1"/>
  <c r="K30" i="1"/>
  <c r="K34" i="1"/>
  <c r="K23" i="1"/>
  <c r="K26" i="1"/>
  <c r="L26" i="1"/>
  <c r="K20" i="1"/>
  <c r="L20" i="1"/>
  <c r="K33" i="1"/>
  <c r="L33" i="1"/>
  <c r="L22" i="1"/>
  <c r="K22" i="1"/>
  <c r="L14" i="1"/>
  <c r="K14" i="1"/>
  <c r="L32" i="1"/>
  <c r="K32" i="1"/>
  <c r="G24" i="1" a="1"/>
  <c r="G24" i="1" s="1"/>
  <c r="M24" i="1" s="1"/>
  <c r="G17" i="1" a="1"/>
  <c r="G17" i="1" s="1"/>
  <c r="M17" i="1" s="1"/>
  <c r="G18" i="1" a="1"/>
  <c r="G18" i="1" s="1"/>
  <c r="M18" i="1" s="1"/>
  <c r="G16" i="1" a="1"/>
  <c r="G16" i="1" s="1"/>
  <c r="M16" i="1" s="1"/>
  <c r="G25" i="1" a="1"/>
  <c r="G25" i="1" s="1"/>
  <c r="M25" i="1" s="1"/>
  <c r="G35" i="1" a="1"/>
  <c r="G35" i="1" s="1"/>
  <c r="M35" i="1" s="1"/>
  <c r="H35" i="1" l="1"/>
  <c r="J35" i="1"/>
  <c r="N35" i="1" s="1"/>
  <c r="H34" i="1"/>
  <c r="H25" i="1"/>
  <c r="J25" i="1"/>
  <c r="N25" i="1" s="1"/>
  <c r="J16" i="1"/>
  <c r="N16" i="1" s="1"/>
  <c r="H16" i="1"/>
  <c r="H15" i="1"/>
  <c r="J18" i="1"/>
  <c r="N18" i="1" s="1"/>
  <c r="H18" i="1"/>
  <c r="J24" i="1"/>
  <c r="N24" i="1" s="1"/>
  <c r="H24" i="1"/>
  <c r="H23" i="1"/>
  <c r="H17" i="1"/>
  <c r="J17" i="1"/>
  <c r="N17" i="1" s="1"/>
  <c r="K17" i="1" l="1"/>
  <c r="L17" i="1"/>
  <c r="K16" i="1"/>
  <c r="L16" i="1"/>
  <c r="L15" i="1"/>
  <c r="K25" i="1"/>
  <c r="L25" i="1"/>
  <c r="K24" i="1"/>
  <c r="L23" i="1"/>
  <c r="L24" i="1"/>
  <c r="L34" i="1"/>
  <c r="K35" i="1"/>
  <c r="K18" i="1"/>
  <c r="L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<sst xmlns="http://schemas.openxmlformats.org/spreadsheetml/2006/main" count="771" uniqueCount="562">
  <si>
    <t>RED BOOK AWP Price History</t>
  </si>
  <si>
    <r>
      <t>Product Name: </t>
    </r>
    <r>
      <rPr>
        <sz val="12"/>
        <color rgb="FF222222"/>
        <rFont val="Arial"/>
        <family val="2"/>
      </rPr>
      <t>REVLIMID</t>
    </r>
  </si>
  <si>
    <r>
      <t>Code:</t>
    </r>
    <r>
      <rPr>
        <sz val="12"/>
        <color rgb="FF222222"/>
        <rFont val="Arial"/>
        <family val="2"/>
      </rPr>
      <t> NDC</t>
    </r>
  </si>
  <si>
    <r>
      <t>Identifier:</t>
    </r>
    <r>
      <rPr>
        <sz val="12"/>
        <color rgb="FF222222"/>
        <rFont val="Arial"/>
        <family val="2"/>
      </rPr>
      <t> 59572-0405-00</t>
    </r>
  </si>
  <si>
    <t>Effective Date</t>
  </si>
  <si>
    <t>Unit</t>
  </si>
  <si>
    <t>% Change</t>
  </si>
  <si>
    <t>Other Info:</t>
  </si>
  <si>
    <t>5mg, Package Size 100s</t>
  </si>
  <si>
    <t>Test x</t>
  </si>
  <si>
    <t>Implied Date</t>
  </si>
  <si>
    <t>Predicted</t>
  </si>
  <si>
    <t>Has The Price Ever Declined</t>
  </si>
  <si>
    <t>a</t>
  </si>
  <si>
    <t>b</t>
  </si>
  <si>
    <t>c</t>
  </si>
  <si>
    <t>d</t>
  </si>
  <si>
    <t>f</t>
  </si>
  <si>
    <t>e</t>
  </si>
  <si>
    <t>R^2</t>
  </si>
  <si>
    <t>Coefficients</t>
  </si>
  <si>
    <t>Was It Supposed To Drop</t>
  </si>
  <si>
    <t>Derivative</t>
  </si>
  <si>
    <t>Goal Seek: When the Price is scheduled to start declining</t>
  </si>
  <si>
    <t>Day Number</t>
  </si>
  <si>
    <t>Slope Breaks Even</t>
  </si>
  <si>
    <t>Price</t>
  </si>
  <si>
    <t>Scheduled Day For This Price Point</t>
  </si>
  <si>
    <t>Date</t>
  </si>
  <si>
    <t>How Long Since Last Increase</t>
  </si>
  <si>
    <t>Distance Between Predicted and Set Price</t>
  </si>
  <si>
    <t>Distance Between Expected Date and Announced Date</t>
  </si>
  <si>
    <t>October 2019 </t>
  </si>
  <si>
    <t>September 2019 </t>
  </si>
  <si>
    <t>August 2019 </t>
  </si>
  <si>
    <t>July 2019 </t>
  </si>
  <si>
    <t>June 2019 </t>
  </si>
  <si>
    <t>May 2019 </t>
  </si>
  <si>
    <t>April 2019 </t>
  </si>
  <si>
    <t>March 2019 </t>
  </si>
  <si>
    <t>February 2019 </t>
  </si>
  <si>
    <t>January 2019 </t>
  </si>
  <si>
    <t>December 2018 </t>
  </si>
  <si>
    <t>November 2018 </t>
  </si>
  <si>
    <t>October 2018 </t>
  </si>
  <si>
    <t>September 2018 </t>
  </si>
  <si>
    <t>August 2018 </t>
  </si>
  <si>
    <t>July 2018 </t>
  </si>
  <si>
    <t>June 2018 </t>
  </si>
  <si>
    <t>May 2018 </t>
  </si>
  <si>
    <t>April 2018 </t>
  </si>
  <si>
    <t>March 2018 </t>
  </si>
  <si>
    <t>February 2018 </t>
  </si>
  <si>
    <t>January 2018 </t>
  </si>
  <si>
    <t>December 2017 </t>
  </si>
  <si>
    <t>November 2017 </t>
  </si>
  <si>
    <t>October 2017 </t>
  </si>
  <si>
    <t>September 2017 </t>
  </si>
  <si>
    <t>August 2017 </t>
  </si>
  <si>
    <t>July 2017 </t>
  </si>
  <si>
    <t>June 2017 </t>
  </si>
  <si>
    <t>May 2017 </t>
  </si>
  <si>
    <t>April 2017 </t>
  </si>
  <si>
    <t>March 2017 </t>
  </si>
  <si>
    <t>February 2017 </t>
  </si>
  <si>
    <t>January 2017 </t>
  </si>
  <si>
    <t>December 2016 </t>
  </si>
  <si>
    <t>November 2016 </t>
  </si>
  <si>
    <t>October 2016 </t>
  </si>
  <si>
    <t>September 2016 </t>
  </si>
  <si>
    <t>August 2016 </t>
  </si>
  <si>
    <t>July 2016 </t>
  </si>
  <si>
    <t>June 2016 </t>
  </si>
  <si>
    <t>May 2016 </t>
  </si>
  <si>
    <t>April 2016 </t>
  </si>
  <si>
    <t>March 2016 </t>
  </si>
  <si>
    <t>February 2016 </t>
  </si>
  <si>
    <t>January 2016 </t>
  </si>
  <si>
    <t>December 2015 </t>
  </si>
  <si>
    <t>November 2015 </t>
  </si>
  <si>
    <t>October 2015 </t>
  </si>
  <si>
    <t>September 2015 </t>
  </si>
  <si>
    <t>August 2015 </t>
  </si>
  <si>
    <t>July 2015 </t>
  </si>
  <si>
    <t>June 2015 </t>
  </si>
  <si>
    <t>May 2015 </t>
  </si>
  <si>
    <t>April 2015 </t>
  </si>
  <si>
    <t>March 2015 </t>
  </si>
  <si>
    <t>February 2015 </t>
  </si>
  <si>
    <t>January 2015 </t>
  </si>
  <si>
    <t>December 2014 </t>
  </si>
  <si>
    <t>November 2014 </t>
  </si>
  <si>
    <t>October 2014 </t>
  </si>
  <si>
    <t>September 2014 </t>
  </si>
  <si>
    <t>August 2014 </t>
  </si>
  <si>
    <t>July 2014 </t>
  </si>
  <si>
    <t>June 2014 </t>
  </si>
  <si>
    <t>May 2014 </t>
  </si>
  <si>
    <t>April 2014 </t>
  </si>
  <si>
    <t>March 2014 </t>
  </si>
  <si>
    <t>February 2014 </t>
  </si>
  <si>
    <t>January 2014 </t>
  </si>
  <si>
    <t>December 2013 </t>
  </si>
  <si>
    <t>November 2013 </t>
  </si>
  <si>
    <t>October 2013 </t>
  </si>
  <si>
    <t>September 2013 </t>
  </si>
  <si>
    <t>August 2013 </t>
  </si>
  <si>
    <t>July 2013 </t>
  </si>
  <si>
    <t>June 2013 </t>
  </si>
  <si>
    <t>May 2013 </t>
  </si>
  <si>
    <t>April 2013 </t>
  </si>
  <si>
    <t>March 2013 </t>
  </si>
  <si>
    <t>February 2013 </t>
  </si>
  <si>
    <t>January 2013 </t>
  </si>
  <si>
    <t>December 2012 </t>
  </si>
  <si>
    <t>November 2012 </t>
  </si>
  <si>
    <t>October 2012 </t>
  </si>
  <si>
    <t>September 2012 </t>
  </si>
  <si>
    <t>August 2012 </t>
  </si>
  <si>
    <t>July 2012 </t>
  </si>
  <si>
    <t>June 2012 </t>
  </si>
  <si>
    <t>May 2012 </t>
  </si>
  <si>
    <t>April 2012 </t>
  </si>
  <si>
    <t>March 2012 </t>
  </si>
  <si>
    <t>February 2012 </t>
  </si>
  <si>
    <t>January 2012 </t>
  </si>
  <si>
    <t>December 2011 </t>
  </si>
  <si>
    <t>November 2011 </t>
  </si>
  <si>
    <t>October 2011 </t>
  </si>
  <si>
    <t>September 2011 </t>
  </si>
  <si>
    <t>August 2011 </t>
  </si>
  <si>
    <t>July 2011 </t>
  </si>
  <si>
    <t>June 2011 </t>
  </si>
  <si>
    <t>May 2011 </t>
  </si>
  <si>
    <t>April 2011 </t>
  </si>
  <si>
    <t>March 2011 </t>
  </si>
  <si>
    <t>February 2011 </t>
  </si>
  <si>
    <t>January 2011 </t>
  </si>
  <si>
    <t>December 2010 </t>
  </si>
  <si>
    <t>November 2010 </t>
  </si>
  <si>
    <t>October 2010 </t>
  </si>
  <si>
    <t>September 2010 </t>
  </si>
  <si>
    <t>August 2010 </t>
  </si>
  <si>
    <t>July 2010 </t>
  </si>
  <si>
    <t>June 2010 </t>
  </si>
  <si>
    <t>May 2010 </t>
  </si>
  <si>
    <t>April 2010 </t>
  </si>
  <si>
    <t>March 2010 </t>
  </si>
  <si>
    <t>February 2010 </t>
  </si>
  <si>
    <t>January 2010 </t>
  </si>
  <si>
    <t>December 2009 </t>
  </si>
  <si>
    <t>November 2009 </t>
  </si>
  <si>
    <t>October 2009 </t>
  </si>
  <si>
    <t>September 2009 </t>
  </si>
  <si>
    <t>August 2009 </t>
  </si>
  <si>
    <t>July 2009 </t>
  </si>
  <si>
    <t>June 2009 </t>
  </si>
  <si>
    <t>May 2009 </t>
  </si>
  <si>
    <t>April 2009 </t>
  </si>
  <si>
    <t>March 2009 </t>
  </si>
  <si>
    <t>February 2009 </t>
  </si>
  <si>
    <t>January 2009 </t>
  </si>
  <si>
    <t>December 2008 </t>
  </si>
  <si>
    <t>November 2008 </t>
  </si>
  <si>
    <t>October 2008 </t>
  </si>
  <si>
    <t>September 2008 </t>
  </si>
  <si>
    <t>August 2008 </t>
  </si>
  <si>
    <t>July 2008 </t>
  </si>
  <si>
    <t>June 2008 </t>
  </si>
  <si>
    <t>May 2008 </t>
  </si>
  <si>
    <t>April 2008 </t>
  </si>
  <si>
    <t>March 2008 </t>
  </si>
  <si>
    <t>February 2008 </t>
  </si>
  <si>
    <t>January 2008 </t>
  </si>
  <si>
    <t>December 2007 </t>
  </si>
  <si>
    <t>November 2007 </t>
  </si>
  <si>
    <t>October 2007 </t>
  </si>
  <si>
    <t>September 2007 </t>
  </si>
  <si>
    <t>August 2007 </t>
  </si>
  <si>
    <t>July 2007 </t>
  </si>
  <si>
    <t>June 2007 </t>
  </si>
  <si>
    <t>May 2007 </t>
  </si>
  <si>
    <t>April 2007 </t>
  </si>
  <si>
    <t>March 2007 </t>
  </si>
  <si>
    <t>February 2007 </t>
  </si>
  <si>
    <t>January 2007 </t>
  </si>
  <si>
    <t>December 2006 </t>
  </si>
  <si>
    <t>November 2006 </t>
  </si>
  <si>
    <t>October 2006 </t>
  </si>
  <si>
    <t>September 2006 </t>
  </si>
  <si>
    <t>August 2006 </t>
  </si>
  <si>
    <t>July 2006 </t>
  </si>
  <si>
    <t>June 2006 </t>
  </si>
  <si>
    <t>May 2006 </t>
  </si>
  <si>
    <t>April 2006 </t>
  </si>
  <si>
    <t>March 2006 </t>
  </si>
  <si>
    <t>February 2006 </t>
  </si>
  <si>
    <t>January 2006 </t>
  </si>
  <si>
    <t>December 2005 </t>
  </si>
  <si>
    <t>November 2005 </t>
  </si>
  <si>
    <t>October 2005 </t>
  </si>
  <si>
    <t>September 2005 </t>
  </si>
  <si>
    <t>August 2005 </t>
  </si>
  <si>
    <t>July 2005 </t>
  </si>
  <si>
    <t>June 2005 </t>
  </si>
  <si>
    <t>May 2005 </t>
  </si>
  <si>
    <t>April 2005 </t>
  </si>
  <si>
    <t>March 2005 </t>
  </si>
  <si>
    <t>February 2005 </t>
  </si>
  <si>
    <t>January 2005 </t>
  </si>
  <si>
    <t>December 2004 </t>
  </si>
  <si>
    <t>November 2004 </t>
  </si>
  <si>
    <t>October 2004 </t>
  </si>
  <si>
    <t>September 2004 </t>
  </si>
  <si>
    <t>August 2004 </t>
  </si>
  <si>
    <t>July 2004 </t>
  </si>
  <si>
    <t>June 2004 </t>
  </si>
  <si>
    <t>May 2004 </t>
  </si>
  <si>
    <t>April 2004 </t>
  </si>
  <si>
    <t>March 2004 </t>
  </si>
  <si>
    <t>February 2004 </t>
  </si>
  <si>
    <t>January 2004 </t>
  </si>
  <si>
    <t>December 2003 </t>
  </si>
  <si>
    <t>November 2003 </t>
  </si>
  <si>
    <t>October 2003 </t>
  </si>
  <si>
    <t>September 2003 </t>
  </si>
  <si>
    <t>August 2003 </t>
  </si>
  <si>
    <t>July 2003 </t>
  </si>
  <si>
    <t>June 2003 </t>
  </si>
  <si>
    <t>May 2003 </t>
  </si>
  <si>
    <t>April 2003 </t>
  </si>
  <si>
    <t>March 2003 </t>
  </si>
  <si>
    <t>February 2003 </t>
  </si>
  <si>
    <t>January 2003 </t>
  </si>
  <si>
    <t>December 2002 </t>
  </si>
  <si>
    <t>November 2002 </t>
  </si>
  <si>
    <t>October 2002 </t>
  </si>
  <si>
    <t>September 2002 </t>
  </si>
  <si>
    <t>August 2002 </t>
  </si>
  <si>
    <t>July 2002 </t>
  </si>
  <si>
    <t>June 2002 </t>
  </si>
  <si>
    <t>May 2002 </t>
  </si>
  <si>
    <t>April 2002 </t>
  </si>
  <si>
    <t>March 2002 </t>
  </si>
  <si>
    <t>February 2002 </t>
  </si>
  <si>
    <t>January 2002 </t>
  </si>
  <si>
    <t>December 2001 </t>
  </si>
  <si>
    <t>November 2001 </t>
  </si>
  <si>
    <t>October 2001 </t>
  </si>
  <si>
    <t>September 2001 </t>
  </si>
  <si>
    <t>August 2001 </t>
  </si>
  <si>
    <t>July 2001 </t>
  </si>
  <si>
    <t>June 2001 </t>
  </si>
  <si>
    <t>May 2001 </t>
  </si>
  <si>
    <t>April 2001 </t>
  </si>
  <si>
    <t>March 2001 </t>
  </si>
  <si>
    <t>February 2001 </t>
  </si>
  <si>
    <t>January 2001 </t>
  </si>
  <si>
    <t>December 2000 </t>
  </si>
  <si>
    <t>November 2000 </t>
  </si>
  <si>
    <t>October 2000 </t>
  </si>
  <si>
    <t>September 2000 </t>
  </si>
  <si>
    <t>August 2000 </t>
  </si>
  <si>
    <t>July 2000 </t>
  </si>
  <si>
    <t>June 2000 </t>
  </si>
  <si>
    <t>May 2000 </t>
  </si>
  <si>
    <t>April 2000 </t>
  </si>
  <si>
    <t>March 2000 </t>
  </si>
  <si>
    <t>February 2000 </t>
  </si>
  <si>
    <t>January 2000 </t>
  </si>
  <si>
    <t>December 1999 </t>
  </si>
  <si>
    <t>November 1999 </t>
  </si>
  <si>
    <t>October 1999 </t>
  </si>
  <si>
    <t>September 1999 </t>
  </si>
  <si>
    <t>August 1999 </t>
  </si>
  <si>
    <t>July 1999 </t>
  </si>
  <si>
    <t>June 1999 </t>
  </si>
  <si>
    <t>May 1999 </t>
  </si>
  <si>
    <t>April 1999 </t>
  </si>
  <si>
    <t>March 1999 </t>
  </si>
  <si>
    <t>February 1999 </t>
  </si>
  <si>
    <t>January 1999 </t>
  </si>
  <si>
    <t>December 1998 </t>
  </si>
  <si>
    <t>November 1998 </t>
  </si>
  <si>
    <t>October 1998 </t>
  </si>
  <si>
    <t>September 1998 </t>
  </si>
  <si>
    <t>August 1998 </t>
  </si>
  <si>
    <t>July 1998 </t>
  </si>
  <si>
    <t>June 1998 </t>
  </si>
  <si>
    <t>May 1998 </t>
  </si>
  <si>
    <t>April 1998 </t>
  </si>
  <si>
    <t>March 1998 </t>
  </si>
  <si>
    <t>February 1998 </t>
  </si>
  <si>
    <t>January 1998 </t>
  </si>
  <si>
    <t>December 1997 </t>
  </si>
  <si>
    <t>November 1997 </t>
  </si>
  <si>
    <t>October 1997 </t>
  </si>
  <si>
    <t>September 1997 </t>
  </si>
  <si>
    <t>August 1997 </t>
  </si>
  <si>
    <t>July 1997 </t>
  </si>
  <si>
    <t>June 1997 </t>
  </si>
  <si>
    <t>May 1997 </t>
  </si>
  <si>
    <t>April 1997 </t>
  </si>
  <si>
    <t>March 1997 </t>
  </si>
  <si>
    <t>February 1997 </t>
  </si>
  <si>
    <t>January 1997 </t>
  </si>
  <si>
    <t>December 1996 </t>
  </si>
  <si>
    <t>November 1996 </t>
  </si>
  <si>
    <t>October 1996 </t>
  </si>
  <si>
    <t>September 1996 </t>
  </si>
  <si>
    <t>August 1996 </t>
  </si>
  <si>
    <t>July 1996 </t>
  </si>
  <si>
    <t>June 1996 </t>
  </si>
  <si>
    <t>May 1996 </t>
  </si>
  <si>
    <t>April 1996 </t>
  </si>
  <si>
    <t>March 1996 </t>
  </si>
  <si>
    <t>February 1996 </t>
  </si>
  <si>
    <t>January 1996 </t>
  </si>
  <si>
    <t>December 1995 </t>
  </si>
  <si>
    <t>November 1995 </t>
  </si>
  <si>
    <t>October 1995 </t>
  </si>
  <si>
    <t>September 1995 </t>
  </si>
  <si>
    <t>August 1995 </t>
  </si>
  <si>
    <t>July 1995 </t>
  </si>
  <si>
    <t>June 1995 </t>
  </si>
  <si>
    <t>May 1995 </t>
  </si>
  <si>
    <t>April 1995 </t>
  </si>
  <si>
    <t>March 1995 </t>
  </si>
  <si>
    <t>February 1995 </t>
  </si>
  <si>
    <t>January 1995 </t>
  </si>
  <si>
    <t>December 1994 </t>
  </si>
  <si>
    <t>November 1994 </t>
  </si>
  <si>
    <t>October 1994 </t>
  </si>
  <si>
    <t>September 1994 </t>
  </si>
  <si>
    <t>August 1994 </t>
  </si>
  <si>
    <t>July 1994 </t>
  </si>
  <si>
    <t>June 1994 </t>
  </si>
  <si>
    <t>May 1994 </t>
  </si>
  <si>
    <t>April 1994 </t>
  </si>
  <si>
    <t>March 1994 </t>
  </si>
  <si>
    <t>February 1994 </t>
  </si>
  <si>
    <t>January 1994 </t>
  </si>
  <si>
    <t>December 1993 </t>
  </si>
  <si>
    <t>November 1993 </t>
  </si>
  <si>
    <t>October 1993 </t>
  </si>
  <si>
    <t>September 1993 </t>
  </si>
  <si>
    <t>August 1993 </t>
  </si>
  <si>
    <t>July 1993 </t>
  </si>
  <si>
    <t>June 1993 </t>
  </si>
  <si>
    <t>May 1993 </t>
  </si>
  <si>
    <t>April 1993 </t>
  </si>
  <si>
    <t>March 1993 </t>
  </si>
  <si>
    <t>February 1993 </t>
  </si>
  <si>
    <t>January 1993 </t>
  </si>
  <si>
    <t>December 1992 </t>
  </si>
  <si>
    <t>November 1992 </t>
  </si>
  <si>
    <t>October 1992 </t>
  </si>
  <si>
    <t>September 1992 </t>
  </si>
  <si>
    <t>August 1992 </t>
  </si>
  <si>
    <t>July 1992 </t>
  </si>
  <si>
    <t>June 1992 </t>
  </si>
  <si>
    <t>May 1992 </t>
  </si>
  <si>
    <t>April 1992 </t>
  </si>
  <si>
    <t>March 1992 </t>
  </si>
  <si>
    <t>February 1992 </t>
  </si>
  <si>
    <t>January 1992 </t>
  </si>
  <si>
    <t>December 1991 </t>
  </si>
  <si>
    <t>November 1991 </t>
  </si>
  <si>
    <t>October 1991 </t>
  </si>
  <si>
    <t>September 1991 </t>
  </si>
  <si>
    <t>August 1991 </t>
  </si>
  <si>
    <t>July 1991 </t>
  </si>
  <si>
    <t>June 1991 </t>
  </si>
  <si>
    <t>May 1991 </t>
  </si>
  <si>
    <t>April 1991 </t>
  </si>
  <si>
    <t>March 1991 </t>
  </si>
  <si>
    <t>February 1991 </t>
  </si>
  <si>
    <t>January 1991 </t>
  </si>
  <si>
    <t>December 1990 </t>
  </si>
  <si>
    <t>November 1990 </t>
  </si>
  <si>
    <t>October 1990 </t>
  </si>
  <si>
    <t>September 1990 </t>
  </si>
  <si>
    <t>August 1990 </t>
  </si>
  <si>
    <t>July 1990 </t>
  </si>
  <si>
    <t>June 1990 </t>
  </si>
  <si>
    <t>May 1990 </t>
  </si>
  <si>
    <t>April 1990 </t>
  </si>
  <si>
    <t>March 1990 </t>
  </si>
  <si>
    <t>February 1990 </t>
  </si>
  <si>
    <t>January 1990 </t>
  </si>
  <si>
    <t>December 1989 </t>
  </si>
  <si>
    <t>November 1989 </t>
  </si>
  <si>
    <t>October 1989 </t>
  </si>
  <si>
    <t>September 1989 </t>
  </si>
  <si>
    <t>August 1989 </t>
  </si>
  <si>
    <t>July 1989 </t>
  </si>
  <si>
    <t>June 1989 </t>
  </si>
  <si>
    <t>May 1989 </t>
  </si>
  <si>
    <t>April 1989 </t>
  </si>
  <si>
    <t>March 1989 </t>
  </si>
  <si>
    <t>February 1989 </t>
  </si>
  <si>
    <t>January 1989 </t>
  </si>
  <si>
    <t>December 1988 </t>
  </si>
  <si>
    <t>November 1988 </t>
  </si>
  <si>
    <t>October 1988 </t>
  </si>
  <si>
    <t>September 1988 </t>
  </si>
  <si>
    <t>August 1988 </t>
  </si>
  <si>
    <t>July 1988 </t>
  </si>
  <si>
    <t>June 1988 </t>
  </si>
  <si>
    <t>May 1988 </t>
  </si>
  <si>
    <t>April 1988 </t>
  </si>
  <si>
    <t>March 1988 </t>
  </si>
  <si>
    <t>February 1988 </t>
  </si>
  <si>
    <t>January 1988 </t>
  </si>
  <si>
    <t>December 1987 </t>
  </si>
  <si>
    <t>November 1987 </t>
  </si>
  <si>
    <t>October 1987 </t>
  </si>
  <si>
    <t>September 1987 </t>
  </si>
  <si>
    <t>August 1987 </t>
  </si>
  <si>
    <t>July 1987 </t>
  </si>
  <si>
    <t>https://www.digrin.com/stocks/detail/CELG/price</t>
  </si>
  <si>
    <t>Real Price</t>
  </si>
  <si>
    <t>Scheduled Date</t>
  </si>
  <si>
    <t>Price Paid By A Patient</t>
  </si>
  <si>
    <t>Year</t>
  </si>
  <si>
    <t>Brand Name</t>
  </si>
  <si>
    <t>Generic Name</t>
  </si>
  <si>
    <t>Coverage Type</t>
  </si>
  <si>
    <t>Total Spending</t>
  </si>
  <si>
    <t>Beneficiary Count</t>
  </si>
  <si>
    <t>Unit Count</t>
  </si>
  <si>
    <t>Beneficiary Cost Share</t>
  </si>
  <si>
    <t>Total Annual Spending Per User</t>
  </si>
  <si>
    <t>Avg Cost Per Unit</t>
  </si>
  <si>
    <t>Average Annual Beneficiary Cost Share</t>
  </si>
  <si>
    <t>Claim Count</t>
  </si>
  <si>
    <t>Beneficiary Count LIS</t>
  </si>
  <si>
    <t>Beneficiary Count No LIS</t>
  </si>
  <si>
    <t>Beneficiary Cost Share LIS</t>
  </si>
  <si>
    <t>Beneficiary Cost Share No LIS</t>
  </si>
  <si>
    <t>Avg Bene Cost Share LIS</t>
  </si>
  <si>
    <t>Avg Bene Cost Share No LIS</t>
  </si>
  <si>
    <t>Revlimid</t>
  </si>
  <si>
    <t>Lenalidomide</t>
  </si>
  <si>
    <t>Part D</t>
  </si>
  <si>
    <t>*</t>
  </si>
  <si>
    <t>Calc_Average_Spending_Per_Claim</t>
  </si>
  <si>
    <t>Celgene/BMS</t>
  </si>
  <si>
    <t>Source</t>
  </si>
  <si>
    <t>Wayback</t>
  </si>
  <si>
    <t>46Brooklyn</t>
  </si>
  <si>
    <t>Column1</t>
  </si>
  <si>
    <t>brand_name</t>
  </si>
  <si>
    <t>generic_name</t>
  </si>
  <si>
    <t>manufacturer</t>
  </si>
  <si>
    <t>2019_total_spending</t>
  </si>
  <si>
    <t>2019_total_dosage_units</t>
  </si>
  <si>
    <t>2019_total_claims</t>
  </si>
  <si>
    <t>2019_total_beneficiaries</t>
  </si>
  <si>
    <t>2019_average_spending_per_dosage_unit_weighted</t>
  </si>
  <si>
    <t>2019_average_spending_per_claim</t>
  </si>
  <si>
    <t>2019_average_spending_per_beneficiary</t>
  </si>
  <si>
    <t>2019_outlier_flag</t>
  </si>
  <si>
    <t>2020_total_spending</t>
  </si>
  <si>
    <t>2020_total_dosage_units</t>
  </si>
  <si>
    <t>2020_total_claims</t>
  </si>
  <si>
    <t>2020_total_beneficiaries</t>
  </si>
  <si>
    <t>2020_average_spending_per_dosage_unit_weighted</t>
  </si>
  <si>
    <t>2020_average_spending_per_claim</t>
  </si>
  <si>
    <t>2020_average_spending_per_beneficiary</t>
  </si>
  <si>
    <t>2020_outlier_flag</t>
  </si>
  <si>
    <t>2021_total_spending</t>
  </si>
  <si>
    <t>2021_total_dosage_units</t>
  </si>
  <si>
    <t>2021_total_claims</t>
  </si>
  <si>
    <t>2021_total_beneficiaries</t>
  </si>
  <si>
    <t>2021_average_spending_per_dosage_unit_weighted</t>
  </si>
  <si>
    <t>2021_average_spending_per_claim</t>
  </si>
  <si>
    <t>2021_average_spending_per_beneficiary</t>
  </si>
  <si>
    <t>2021_outlier_flag</t>
  </si>
  <si>
    <t>2022_total_spending</t>
  </si>
  <si>
    <t>2022_total_dosage_units</t>
  </si>
  <si>
    <t>2022_total_claims</t>
  </si>
  <si>
    <t>2022_total_beneficiaries</t>
  </si>
  <si>
    <t>2022_average_spending_per_dosage_unit_weighted</t>
  </si>
  <si>
    <t>2022_average_spending_per_claim</t>
  </si>
  <si>
    <t>2022_average_spending_per_beneficiary</t>
  </si>
  <si>
    <t>2022_outlier_flag</t>
  </si>
  <si>
    <t>2023_total_spending</t>
  </si>
  <si>
    <t>2023_total_dosage_units</t>
  </si>
  <si>
    <t>2023_total_claims</t>
  </si>
  <si>
    <t>2023_total_beneficiaries</t>
  </si>
  <si>
    <t>2023_average_spending_per_dosage_unit_weighted</t>
  </si>
  <si>
    <t>2023_average_spending_per_claim</t>
  </si>
  <si>
    <t>2023_average_spending_per_beneficiary</t>
  </si>
  <si>
    <t>2023_outlier_flag</t>
  </si>
  <si>
    <t>yearly_change_change_in_average_spending_per_dosage_unit_2022_2023</t>
  </si>
  <si>
    <t>annual_growth_rate_in_average_spending_per_dosage_unit_2019_2023</t>
  </si>
  <si>
    <t>Brnd_Name</t>
  </si>
  <si>
    <t>Gnrc_Name</t>
  </si>
  <si>
    <t>Tot_Mftr</t>
  </si>
  <si>
    <t>Mftr_Name</t>
  </si>
  <si>
    <t>Tot_Spndng_2017</t>
  </si>
  <si>
    <t>Tot_Dsg_Unts_2017</t>
  </si>
  <si>
    <t>Tot_Clms_2017</t>
  </si>
  <si>
    <t>Tot_Benes_2017</t>
  </si>
  <si>
    <t>Avg_Spnd_Per_Dsg_Unt_Wghtd_2017</t>
  </si>
  <si>
    <t>Avg_Spnd_Per_Clm_2017</t>
  </si>
  <si>
    <t>Avg_Spnd_Per_Bene_2017</t>
  </si>
  <si>
    <t>Outlier_Flag_2017</t>
  </si>
  <si>
    <t>Tot_Spndng_2018</t>
  </si>
  <si>
    <t>Tot_Dsg_Unts_2018</t>
  </si>
  <si>
    <t>Tot_Clms_2018</t>
  </si>
  <si>
    <t>Tot_Benes_2018</t>
  </si>
  <si>
    <t>Avg_Spnd_Per_Dsg_Unt_Wghtd_2018</t>
  </si>
  <si>
    <t>Avg_Spnd_Per_Clm_2018</t>
  </si>
  <si>
    <t>Avg_Spnd_Per_Bene_2018</t>
  </si>
  <si>
    <t>Outlier_Flag_2018</t>
  </si>
  <si>
    <t>Tot_Spndng_2019</t>
  </si>
  <si>
    <t>Tot_Dsg_Unts_2019</t>
  </si>
  <si>
    <t>Tot_Clms_2019</t>
  </si>
  <si>
    <t>Tot_Benes_2019</t>
  </si>
  <si>
    <t>Avg_Spnd_Per_Dsg_Unt_Wghtd_2019</t>
  </si>
  <si>
    <t>Avg_Spnd_Per_Clm_2019</t>
  </si>
  <si>
    <t>Avg_Spnd_Per_Bene_2019</t>
  </si>
  <si>
    <t>Outlier_Flag_2019</t>
  </si>
  <si>
    <t>Tot_Spndng_2020</t>
  </si>
  <si>
    <t>Tot_Dsg_Unts_2020</t>
  </si>
  <si>
    <t>Tot_Clms_2020</t>
  </si>
  <si>
    <t>Tot_Benes_2020</t>
  </si>
  <si>
    <t>Avg_Spnd_Per_Dsg_Unt_Wghtd_2020</t>
  </si>
  <si>
    <t>Avg_Spnd_Per_Clm_2020</t>
  </si>
  <si>
    <t>Avg_Spnd_Per_Bene_2020</t>
  </si>
  <si>
    <t>Outlier_Flag_2020</t>
  </si>
  <si>
    <t>Tot_Spndng_2021</t>
  </si>
  <si>
    <t>Tot_Dsg_Unts_2021</t>
  </si>
  <si>
    <t>Tot_Clms_2021</t>
  </si>
  <si>
    <t>Tot_Benes_2021</t>
  </si>
  <si>
    <t>Avg_Spnd_Per_Dsg_Unt_Wghtd_2021</t>
  </si>
  <si>
    <t>Avg_Spnd_Per_Clm_2021</t>
  </si>
  <si>
    <t>Avg_Spnd_Per_Bene_2021</t>
  </si>
  <si>
    <t>Outlier_Flag_2021</t>
  </si>
  <si>
    <t>Chg_Avg_Spnd_Per_Dsg_Unt_20_21</t>
  </si>
  <si>
    <t>CAGR_Avg_Spnd_Per_Dsg_Unt_17_21</t>
  </si>
  <si>
    <t>Overall</t>
  </si>
  <si>
    <t>Calendar Year 2013</t>
  </si>
  <si>
    <t>Calendar Year 2014</t>
  </si>
  <si>
    <t>Calendar Year 2015</t>
  </si>
  <si>
    <t>Calendar Year 2016</t>
  </si>
  <si>
    <t>Calendar Year 2017</t>
  </si>
  <si>
    <t xml:space="preserve">Yearly Change  </t>
  </si>
  <si>
    <t>Number of Manufacturers</t>
  </si>
  <si>
    <t>Total Dosage Units</t>
  </si>
  <si>
    <t>Total 
Claims</t>
  </si>
  <si>
    <t>Total Beneficiaries</t>
  </si>
  <si>
    <t>Average Spending Per Dosage Unit (Weighted)</t>
  </si>
  <si>
    <t>Average Spending Per Claim</t>
  </si>
  <si>
    <t>Average Spending Per Beneficiary</t>
  </si>
  <si>
    <t>Change in Average Spending Per Dosage Unit (2016-2017)</t>
  </si>
  <si>
    <t>Annual Growth Rate in Average Spending Per Dosage Unit (2013-2017)</t>
  </si>
  <si>
    <t>Avg Cost/Unit</t>
  </si>
  <si>
    <t>Medicare Avg Cost/Unit</t>
  </si>
  <si>
    <t>REVLIMID-MEDICARE DATA SEE SHEET TITLED REVLIMID_REDBOOK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</si>
</sst>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  <font>
      <b/>
      <sz val="16"/>
      <color rgb="FF212529"/>
      <name val="Helvetica Neue"/>
      <family val="2"/>
    </font>
    <font>
      <sz val="16"/>
      <color rgb="FF212529"/>
      <name val="Helvetica Neue"/>
      <family val="2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6386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theme="4" tint="0.39997558519241921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theme="4" tint="0.39997558519241921"/>
      </top>
      <bottom style="thin">
        <color rgb="FFC0C0C0"/>
      </bottom>
      <diagonal/>
    </border>
    <border>
      <left style="thin">
        <color rgb="FFC0C0C0"/>
      </left>
      <right style="thin">
        <color theme="4" tint="0.39997558519241921"/>
      </right>
      <top style="thin">
        <color theme="4" tint="0.39997558519241921"/>
      </top>
      <bottom style="thin">
        <color rgb="FFC0C0C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0C0C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/>
    <xf numFmtId="14" fontId="3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2" fontId="0" fillId="0" borderId="0" xfId="0" applyNumberFormat="1"/>
    <xf numFmtId="0" fontId="5" fillId="0" borderId="0" xfId="0" applyFont="1"/>
    <xf numFmtId="0" fontId="6" fillId="0" borderId="0" xfId="0" applyFont="1"/>
    <xf numFmtId="8" fontId="6" fillId="0" borderId="0" xfId="0" applyNumberFormat="1" applyFont="1"/>
    <xf numFmtId="6" fontId="6" fillId="0" borderId="0" xfId="0" applyNumberFormat="1" applyFont="1"/>
    <xf numFmtId="0" fontId="7" fillId="2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left" vertical="center" wrapText="1"/>
    </xf>
    <xf numFmtId="164" fontId="9" fillId="3" borderId="11" xfId="0" applyNumberFormat="1" applyFont="1" applyFill="1" applyBorder="1" applyAlignment="1">
      <alignment horizontal="right" vertical="center"/>
    </xf>
    <xf numFmtId="3" fontId="9" fillId="3" borderId="11" xfId="0" applyNumberFormat="1" applyFont="1" applyFill="1" applyBorder="1" applyAlignment="1">
      <alignment horizontal="right" vertical="center"/>
    </xf>
    <xf numFmtId="164" fontId="9" fillId="3" borderId="12" xfId="0" applyNumberFormat="1" applyFont="1" applyFill="1" applyBorder="1" applyAlignment="1">
      <alignment horizontal="right" vertical="center"/>
    </xf>
    <xf numFmtId="0" fontId="9" fillId="0" borderId="11" xfId="0" applyFont="1" applyBorder="1" applyAlignment="1">
      <alignment horizontal="left" vertical="center" wrapText="1"/>
    </xf>
    <xf numFmtId="164" fontId="9" fillId="0" borderId="11" xfId="0" applyNumberFormat="1" applyFont="1" applyBorder="1" applyAlignment="1">
      <alignment horizontal="right" vertical="center"/>
    </xf>
    <xf numFmtId="3" fontId="9" fillId="0" borderId="11" xfId="0" applyNumberFormat="1" applyFont="1" applyBorder="1" applyAlignment="1">
      <alignment horizontal="right" vertical="center"/>
    </xf>
    <xf numFmtId="164" fontId="9" fillId="0" borderId="12" xfId="0" applyNumberFormat="1" applyFont="1" applyBorder="1" applyAlignment="1">
      <alignment horizontal="right" vertical="center"/>
    </xf>
    <xf numFmtId="0" fontId="2" fillId="4" borderId="13" xfId="0" applyFont="1" applyFill="1" applyBorder="1"/>
    <xf numFmtId="0" fontId="2" fillId="4" borderId="14" xfId="0" applyFont="1" applyFill="1" applyBorder="1"/>
    <xf numFmtId="0" fontId="2" fillId="4" borderId="15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0" xfId="0" applyNumberFormat="1"/>
    <xf numFmtId="0" fontId="8" fillId="2" borderId="0" xfId="0" applyFont="1" applyFill="1" applyAlignment="1">
      <alignment horizontal="center" wrapText="1"/>
    </xf>
    <xf numFmtId="164" fontId="9" fillId="0" borderId="16" xfId="0" applyNumberFormat="1" applyFont="1" applyBorder="1" applyAlignment="1">
      <alignment horizontal="right" vertical="center"/>
    </xf>
    <xf numFmtId="0" fontId="0" fillId="0" borderId="11" xfId="0" applyBorder="1"/>
    <xf numFmtId="0" fontId="9" fillId="3" borderId="14" xfId="0" applyFont="1" applyFill="1" applyBorder="1" applyAlignment="1">
      <alignment horizontal="left" vertical="center" wrapText="1"/>
    </xf>
    <xf numFmtId="0" fontId="0" fillId="3" borderId="11" xfId="0" applyFill="1" applyBorder="1"/>
    <xf numFmtId="0" fontId="9" fillId="0" borderId="14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164" fontId="9" fillId="3" borderId="14" xfId="0" applyNumberFormat="1" applyFont="1" applyFill="1" applyBorder="1" applyAlignment="1">
      <alignment horizontal="right" vertical="center"/>
    </xf>
    <xf numFmtId="164" fontId="9" fillId="0" borderId="14" xfId="0" applyNumberFormat="1" applyFont="1" applyBorder="1" applyAlignment="1">
      <alignment horizontal="right" vertical="center"/>
    </xf>
    <xf numFmtId="3" fontId="9" fillId="3" borderId="14" xfId="0" applyNumberFormat="1" applyFont="1" applyFill="1" applyBorder="1" applyAlignment="1">
      <alignment horizontal="right" vertical="center"/>
    </xf>
    <xf numFmtId="3" fontId="9" fillId="0" borderId="14" xfId="0" applyNumberFormat="1" applyFont="1" applyBorder="1" applyAlignment="1">
      <alignment horizontal="right" vertical="center"/>
    </xf>
    <xf numFmtId="164" fontId="0" fillId="0" borderId="11" xfId="0" applyNumberFormat="1" applyBorder="1"/>
    <xf numFmtId="164" fontId="9" fillId="3" borderId="0" xfId="0" applyNumberFormat="1" applyFont="1" applyFill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9" fillId="3" borderId="16" xfId="0" applyNumberFormat="1" applyFont="1" applyFill="1" applyBorder="1" applyAlignment="1">
      <alignment horizontal="right" vertical="center"/>
    </xf>
    <xf numFmtId="3" fontId="9" fillId="3" borderId="0" xfId="0" applyNumberFormat="1" applyFont="1" applyFill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0" fillId="0" borderId="12" xfId="0" applyBorder="1"/>
    <xf numFmtId="0" fontId="0" fillId="3" borderId="0" xfId="0" applyFill="1"/>
    <xf numFmtId="4" fontId="0" fillId="0" borderId="11" xfId="0" applyNumberFormat="1" applyBorder="1"/>
    <xf numFmtId="4" fontId="0" fillId="3" borderId="11" xfId="0" applyNumberFormat="1" applyFill="1" applyBorder="1"/>
    <xf numFmtId="4" fontId="0" fillId="0" borderId="14" xfId="0" applyNumberFormat="1" applyBorder="1"/>
    <xf numFmtId="4" fontId="0" fillId="3" borderId="14" xfId="0" applyNumberFormat="1" applyFill="1" applyBorder="1"/>
    <xf numFmtId="4" fontId="9" fillId="3" borderId="14" xfId="0" applyNumberFormat="1" applyFont="1" applyFill="1" applyBorder="1" applyAlignment="1">
      <alignment horizontal="right" vertical="center"/>
    </xf>
    <xf numFmtId="4" fontId="9" fillId="0" borderId="14" xfId="0" applyNumberFormat="1" applyFont="1" applyBorder="1" applyAlignment="1">
      <alignment horizontal="right" vertical="center"/>
    </xf>
    <xf numFmtId="164" fontId="0" fillId="3" borderId="11" xfId="0" applyNumberFormat="1" applyFill="1" applyBorder="1"/>
    <xf numFmtId="164" fontId="0" fillId="0" borderId="14" xfId="0" applyNumberFormat="1" applyBorder="1"/>
    <xf numFmtId="164" fontId="0" fillId="3" borderId="14" xfId="0" applyNumberFormat="1" applyFill="1" applyBorder="1"/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65" fontId="10" fillId="0" borderId="20" xfId="0" applyNumberFormat="1" applyFont="1" applyBorder="1" applyAlignment="1">
      <alignment horizontal="center" wrapText="1"/>
    </xf>
    <xf numFmtId="3" fontId="10" fillId="0" borderId="22" xfId="0" applyNumberFormat="1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164" fontId="0" fillId="0" borderId="23" xfId="1" applyNumberFormat="1" applyFont="1" applyBorder="1"/>
    <xf numFmtId="3" fontId="0" fillId="0" borderId="24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0" fontId="0" fillId="0" borderId="23" xfId="0" applyNumberFormat="1" applyBorder="1"/>
    <xf numFmtId="10" fontId="0" fillId="0" borderId="25" xfId="0" applyNumberFormat="1" applyBorder="1"/>
    <xf numFmtId="164" fontId="9" fillId="5" borderId="11" xfId="0" applyNumberFormat="1" applyFont="1" applyFill="1" applyBorder="1" applyAlignment="1">
      <alignment horizontal="right" vertical="center"/>
    </xf>
    <xf numFmtId="164" fontId="9" fillId="6" borderId="11" xfId="0" applyNumberFormat="1" applyFont="1" applyFill="1" applyBorder="1" applyAlignment="1">
      <alignment horizontal="right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/>
        <bottom/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</dxf>
    <dxf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4" formatCode="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6386A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853639564824431E-2"/>
          <c:y val="3.4555147616276094E-2"/>
          <c:w val="0.90378523746985129"/>
          <c:h val="0.8209622854185934"/>
        </c:manualLayout>
      </c:layout>
      <c:scatterChart>
        <c:scatterStyle val="lineMarker"/>
        <c:varyColors val="0"/>
        <c:ser>
          <c:idx val="0"/>
          <c:order val="0"/>
          <c:tx>
            <c:strRef>
              <c:f>REDBOOK!$D$8</c:f>
              <c:strCache>
                <c:ptCount val="1"/>
                <c:pt idx="0">
                  <c:v>Unit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REDBOOK!$C$9:$C$35</c:f>
              <c:numCache>
                <c:formatCode>m/d/yy</c:formatCode>
                <c:ptCount val="27"/>
                <c:pt idx="0">
                  <c:v>45474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43468</c:v>
                </c:pt>
                <c:pt idx="5">
                  <c:v>43291</c:v>
                </c:pt>
                <c:pt idx="6">
                  <c:v>43028</c:v>
                </c:pt>
                <c:pt idx="7">
                  <c:v>42927</c:v>
                </c:pt>
                <c:pt idx="8">
                  <c:v>42746</c:v>
                </c:pt>
                <c:pt idx="9">
                  <c:v>42602</c:v>
                </c:pt>
                <c:pt idx="10">
                  <c:v>42439</c:v>
                </c:pt>
                <c:pt idx="11">
                  <c:v>42279</c:v>
                </c:pt>
                <c:pt idx="12">
                  <c:v>42180</c:v>
                </c:pt>
                <c:pt idx="13">
                  <c:v>41996</c:v>
                </c:pt>
                <c:pt idx="14">
                  <c:v>41885</c:v>
                </c:pt>
                <c:pt idx="15">
                  <c:v>41704</c:v>
                </c:pt>
                <c:pt idx="16">
                  <c:v>41548</c:v>
                </c:pt>
                <c:pt idx="17">
                  <c:v>41363</c:v>
                </c:pt>
                <c:pt idx="18">
                  <c:v>41214</c:v>
                </c:pt>
                <c:pt idx="19">
                  <c:v>40876</c:v>
                </c:pt>
                <c:pt idx="20">
                  <c:v>40523</c:v>
                </c:pt>
                <c:pt idx="21">
                  <c:v>40183</c:v>
                </c:pt>
                <c:pt idx="22">
                  <c:v>39939</c:v>
                </c:pt>
                <c:pt idx="23">
                  <c:v>39787</c:v>
                </c:pt>
                <c:pt idx="24">
                  <c:v>39451</c:v>
                </c:pt>
                <c:pt idx="25">
                  <c:v>39085</c:v>
                </c:pt>
                <c:pt idx="26">
                  <c:v>38715</c:v>
                </c:pt>
              </c:numCache>
            </c:numRef>
          </c:xVal>
          <c:yVal>
            <c:numRef>
              <c:f>REDBOOK!$D$9:$D$35</c:f>
              <c:numCache>
                <c:formatCode>General</c:formatCode>
                <c:ptCount val="27"/>
                <c:pt idx="0">
                  <c:v>1069.8607999999999</c:v>
                </c:pt>
                <c:pt idx="1">
                  <c:v>999.86990000000003</c:v>
                </c:pt>
                <c:pt idx="2">
                  <c:v>956.81330000000003</c:v>
                </c:pt>
                <c:pt idx="3">
                  <c:v>915.61080000000004</c:v>
                </c:pt>
                <c:pt idx="4">
                  <c:v>863.78380000000004</c:v>
                </c:pt>
                <c:pt idx="5">
                  <c:v>834.57380000000001</c:v>
                </c:pt>
                <c:pt idx="6">
                  <c:v>794.83209999999997</c:v>
                </c:pt>
                <c:pt idx="7">
                  <c:v>729.2038</c:v>
                </c:pt>
                <c:pt idx="8">
                  <c:v>716.66219999999998</c:v>
                </c:pt>
                <c:pt idx="9">
                  <c:v>663.57619999999997</c:v>
                </c:pt>
                <c:pt idx="10">
                  <c:v>644.24869999999999</c:v>
                </c:pt>
                <c:pt idx="11">
                  <c:v>603.22910000000002</c:v>
                </c:pt>
                <c:pt idx="12">
                  <c:v>580.02790000000005</c:v>
                </c:pt>
                <c:pt idx="13">
                  <c:v>563.13390000000004</c:v>
                </c:pt>
                <c:pt idx="14">
                  <c:v>546.73199999999997</c:v>
                </c:pt>
                <c:pt idx="15">
                  <c:v>514.6721</c:v>
                </c:pt>
                <c:pt idx="16">
                  <c:v>494.87700000000001</c:v>
                </c:pt>
                <c:pt idx="17">
                  <c:v>480.4631</c:v>
                </c:pt>
                <c:pt idx="18">
                  <c:v>466.46910000000003</c:v>
                </c:pt>
                <c:pt idx="19">
                  <c:v>440.06509999999997</c:v>
                </c:pt>
                <c:pt idx="20">
                  <c:v>415.15570000000002</c:v>
                </c:pt>
                <c:pt idx="21">
                  <c:v>388.00029999999998</c:v>
                </c:pt>
                <c:pt idx="22">
                  <c:v>356.29039999999998</c:v>
                </c:pt>
                <c:pt idx="23">
                  <c:v>324.07709999999997</c:v>
                </c:pt>
                <c:pt idx="24">
                  <c:v>311.61270000000002</c:v>
                </c:pt>
                <c:pt idx="25">
                  <c:v>283.54199999999997</c:v>
                </c:pt>
                <c:pt idx="26">
                  <c:v>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F-9F44-A030-6F5531F1E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002623"/>
        <c:axId val="765003519"/>
      </c:scatterChart>
      <c:valAx>
        <c:axId val="76500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003519"/>
        <c:crosses val="autoZero"/>
        <c:crossBetween val="midCat"/>
      </c:valAx>
      <c:valAx>
        <c:axId val="76500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00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REDBOOK!$B$9:$B$35</c:f>
              <c:numCache>
                <c:formatCode>General</c:formatCode>
                <c:ptCount val="27"/>
                <c:pt idx="0">
                  <c:v>6759</c:v>
                </c:pt>
                <c:pt idx="1">
                  <c:v>5847</c:v>
                </c:pt>
                <c:pt idx="2">
                  <c:v>5482</c:v>
                </c:pt>
                <c:pt idx="3">
                  <c:v>5116</c:v>
                </c:pt>
                <c:pt idx="4">
                  <c:v>4753</c:v>
                </c:pt>
                <c:pt idx="5">
                  <c:v>4576</c:v>
                </c:pt>
                <c:pt idx="6">
                  <c:v>4313</c:v>
                </c:pt>
                <c:pt idx="7">
                  <c:v>4212</c:v>
                </c:pt>
                <c:pt idx="8">
                  <c:v>4031</c:v>
                </c:pt>
                <c:pt idx="9">
                  <c:v>3887</c:v>
                </c:pt>
                <c:pt idx="10">
                  <c:v>3724</c:v>
                </c:pt>
                <c:pt idx="11">
                  <c:v>3564</c:v>
                </c:pt>
                <c:pt idx="12">
                  <c:v>3465</c:v>
                </c:pt>
                <c:pt idx="13">
                  <c:v>3281</c:v>
                </c:pt>
                <c:pt idx="14">
                  <c:v>3170</c:v>
                </c:pt>
                <c:pt idx="15">
                  <c:v>2989</c:v>
                </c:pt>
                <c:pt idx="16">
                  <c:v>2833</c:v>
                </c:pt>
                <c:pt idx="17">
                  <c:v>2648</c:v>
                </c:pt>
                <c:pt idx="18">
                  <c:v>2499</c:v>
                </c:pt>
                <c:pt idx="19">
                  <c:v>2161</c:v>
                </c:pt>
                <c:pt idx="20">
                  <c:v>1808</c:v>
                </c:pt>
                <c:pt idx="21">
                  <c:v>1468</c:v>
                </c:pt>
                <c:pt idx="22">
                  <c:v>1224</c:v>
                </c:pt>
                <c:pt idx="23">
                  <c:v>1072</c:v>
                </c:pt>
                <c:pt idx="24">
                  <c:v>736</c:v>
                </c:pt>
                <c:pt idx="25">
                  <c:v>370</c:v>
                </c:pt>
                <c:pt idx="26">
                  <c:v>1</c:v>
                </c:pt>
              </c:numCache>
            </c:numRef>
          </c:xVal>
          <c:yVal>
            <c:numRef>
              <c:f>REDBOOK!$I$9:$I$35</c:f>
              <c:numCache>
                <c:formatCode>General</c:formatCode>
                <c:ptCount val="27"/>
                <c:pt idx="0">
                  <c:v>-1.5695895016175632E-2</c:v>
                </c:pt>
                <c:pt idx="1">
                  <c:v>0.11038382511594502</c:v>
                </c:pt>
                <c:pt idx="2">
                  <c:v>0.1459481797285147</c:v>
                </c:pt>
                <c:pt idx="3">
                  <c:v>0.17198561154773961</c:v>
                </c:pt>
                <c:pt idx="4">
                  <c:v>0.18812272601329716</c:v>
                </c:pt>
                <c:pt idx="5">
                  <c:v>0.192544694290681</c:v>
                </c:pt>
                <c:pt idx="6">
                  <c:v>0.19509950117080654</c:v>
                </c:pt>
                <c:pt idx="7">
                  <c:v>0.1948551934684658</c:v>
                </c:pt>
                <c:pt idx="8">
                  <c:v>0.19280511616172613</c:v>
                </c:pt>
                <c:pt idx="9">
                  <c:v>0.18977247507959505</c:v>
                </c:pt>
                <c:pt idx="10">
                  <c:v>0.1849482212606619</c:v>
                </c:pt>
                <c:pt idx="11">
                  <c:v>0.17889623516742448</c:v>
                </c:pt>
                <c:pt idx="12">
                  <c:v>0.17455810929743976</c:v>
                </c:pt>
                <c:pt idx="13">
                  <c:v>0.16543046845021547</c:v>
                </c:pt>
                <c:pt idx="14">
                  <c:v>0.15933962991072104</c:v>
                </c:pt>
                <c:pt idx="15">
                  <c:v>0.14864379729438071</c:v>
                </c:pt>
                <c:pt idx="16">
                  <c:v>0.13884727343735759</c:v>
                </c:pt>
                <c:pt idx="17">
                  <c:v>0.12680965843580339</c:v>
                </c:pt>
                <c:pt idx="18">
                  <c:v>0.11700108436721246</c:v>
                </c:pt>
                <c:pt idx="19">
                  <c:v>9.5449087995505721E-2</c:v>
                </c:pt>
                <c:pt idx="20">
                  <c:v>7.615916645606402E-2</c:v>
                </c:pt>
                <c:pt idx="21">
                  <c:v>6.354419600739486E-2</c:v>
                </c:pt>
                <c:pt idx="22">
                  <c:v>5.9826130208081391E-2</c:v>
                </c:pt>
                <c:pt idx="23">
                  <c:v>6.0381701332835686E-2</c:v>
                </c:pt>
                <c:pt idx="24">
                  <c:v>7.122710931477115E-2</c:v>
                </c:pt>
                <c:pt idx="25">
                  <c:v>0.10161534333274055</c:v>
                </c:pt>
                <c:pt idx="26">
                  <c:v>0.15682942388789645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6-264B-B25C-C2B65719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90367"/>
        <c:axId val="575924287"/>
      </c:scatterChart>
      <c:valAx>
        <c:axId val="8126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24287"/>
        <c:crosses val="autoZero"/>
        <c:crossBetween val="midCat"/>
      </c:valAx>
      <c:valAx>
        <c:axId val="5759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9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75584274200624E-2"/>
          <c:y val="0.19644725512311237"/>
          <c:w val="0.87721374514933892"/>
          <c:h val="0.71898909649249498"/>
        </c:manualLayout>
      </c:layout>
      <c:scatterChart>
        <c:scatterStyle val="lineMarker"/>
        <c:varyColors val="0"/>
        <c:ser>
          <c:idx val="0"/>
          <c:order val="0"/>
          <c:tx>
            <c:v>Time Since Last Price Increase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REDBOOK!$A$9:$A$35</c:f>
              <c:numCache>
                <c:formatCode>General</c:formatCode>
                <c:ptCount val="27"/>
                <c:pt idx="0">
                  <c:v>27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  <c:pt idx="4">
                  <c:v>23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14</c:v>
                </c:pt>
                <c:pt idx="14">
                  <c:v>13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8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</c:numCache>
            </c:numRef>
          </c:xVal>
          <c:yVal>
            <c:numRef>
              <c:f>REDBOOK!$L$9:$L$35</c:f>
              <c:numCache>
                <c:formatCode>General</c:formatCode>
                <c:ptCount val="27"/>
                <c:pt idx="0">
                  <c:v>702.04492449158988</c:v>
                </c:pt>
                <c:pt idx="1">
                  <c:v>299.16411626476474</c:v>
                </c:pt>
                <c:pt idx="2">
                  <c:v>251.66805272575493</c:v>
                </c:pt>
                <c:pt idx="3">
                  <c:v>291.46901661277479</c:v>
                </c:pt>
                <c:pt idx="4">
                  <c:v>155.73199202361047</c:v>
                </c:pt>
                <c:pt idx="5">
                  <c:v>206.40622502017777</c:v>
                </c:pt>
                <c:pt idx="6">
                  <c:v>336.49783558249601</c:v>
                </c:pt>
                <c:pt idx="7">
                  <c:v>64.601399532606138</c:v>
                </c:pt>
                <c:pt idx="8">
                  <c:v>277.66142607633947</c:v>
                </c:pt>
                <c:pt idx="9">
                  <c:v>104.37564426044173</c:v>
                </c:pt>
                <c:pt idx="10">
                  <c:v>227.23909194858834</c:v>
                </c:pt>
                <c:pt idx="11">
                  <c:v>133.88175359985144</c:v>
                </c:pt>
                <c:pt idx="12">
                  <c:v>103.77430437262274</c:v>
                </c:pt>
                <c:pt idx="13">
                  <c:v>102.47081284627302</c:v>
                </c:pt>
                <c:pt idx="14">
                  <c:v>211.63104859328132</c:v>
                </c:pt>
                <c:pt idx="15">
                  <c:v>141.68154699702245</c:v>
                </c:pt>
                <c:pt idx="16">
                  <c:v>109.75533427129039</c:v>
                </c:pt>
                <c:pt idx="17">
                  <c:v>111.38706642259058</c:v>
                </c:pt>
                <c:pt idx="18">
                  <c:v>225.16525006485699</c:v>
                </c:pt>
                <c:pt idx="19">
                  <c:v>240.12538615912672</c:v>
                </c:pt>
                <c:pt idx="20">
                  <c:v>339.93544240127244</c:v>
                </c:pt>
                <c:pt idx="21">
                  <c:v>506.39152453466318</c:v>
                </c:pt>
                <c:pt idx="22">
                  <c:v>534.92713107830218</c:v>
                </c:pt>
                <c:pt idx="23">
                  <c:v>151.65185839439096</c:v>
                </c:pt>
                <c:pt idx="24">
                  <c:v>285.43079035799411</c:v>
                </c:pt>
                <c:pt idx="25">
                  <c:v>200.27904347295492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D-FF42-8B84-64FC1DB14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70623"/>
        <c:axId val="793021951"/>
      </c:scatterChart>
      <c:valAx>
        <c:axId val="65817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21951"/>
        <c:crosses val="autoZero"/>
        <c:crossBetween val="midCat"/>
      </c:valAx>
      <c:valAx>
        <c:axId val="79302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7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475584274200624E-2"/>
          <c:y val="0.19644725512311237"/>
          <c:w val="0.87721374514933892"/>
          <c:h val="0.71898909649249498"/>
        </c:manualLayout>
      </c:layout>
      <c:scatterChart>
        <c:scatterStyle val="lineMarker"/>
        <c:varyColors val="0"/>
        <c:ser>
          <c:idx val="0"/>
          <c:order val="0"/>
          <c:tx>
            <c:v>Distance From Expected Price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REDBOOK!$C$9:$C$35</c:f>
              <c:numCache>
                <c:formatCode>m/d/yy</c:formatCode>
                <c:ptCount val="27"/>
                <c:pt idx="0">
                  <c:v>45474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43468</c:v>
                </c:pt>
                <c:pt idx="5">
                  <c:v>43291</c:v>
                </c:pt>
                <c:pt idx="6">
                  <c:v>43028</c:v>
                </c:pt>
                <c:pt idx="7">
                  <c:v>42927</c:v>
                </c:pt>
                <c:pt idx="8">
                  <c:v>42746</c:v>
                </c:pt>
                <c:pt idx="9">
                  <c:v>42602</c:v>
                </c:pt>
                <c:pt idx="10">
                  <c:v>42439</c:v>
                </c:pt>
                <c:pt idx="11">
                  <c:v>42279</c:v>
                </c:pt>
                <c:pt idx="12">
                  <c:v>42180</c:v>
                </c:pt>
                <c:pt idx="13">
                  <c:v>41996</c:v>
                </c:pt>
                <c:pt idx="14">
                  <c:v>41885</c:v>
                </c:pt>
                <c:pt idx="15">
                  <c:v>41704</c:v>
                </c:pt>
                <c:pt idx="16">
                  <c:v>41548</c:v>
                </c:pt>
                <c:pt idx="17">
                  <c:v>41363</c:v>
                </c:pt>
                <c:pt idx="18">
                  <c:v>41214</c:v>
                </c:pt>
                <c:pt idx="19">
                  <c:v>40876</c:v>
                </c:pt>
                <c:pt idx="20">
                  <c:v>40523</c:v>
                </c:pt>
                <c:pt idx="21">
                  <c:v>40183</c:v>
                </c:pt>
                <c:pt idx="22">
                  <c:v>39939</c:v>
                </c:pt>
                <c:pt idx="23">
                  <c:v>39787</c:v>
                </c:pt>
                <c:pt idx="24">
                  <c:v>39451</c:v>
                </c:pt>
                <c:pt idx="25">
                  <c:v>39085</c:v>
                </c:pt>
                <c:pt idx="26">
                  <c:v>38715</c:v>
                </c:pt>
              </c:numCache>
            </c:numRef>
          </c:xVal>
          <c:yVal>
            <c:numRef>
              <c:f>REDBOOK!$M$9:$M$35</c:f>
              <c:numCache>
                <c:formatCode>0.00</c:formatCode>
                <c:ptCount val="27"/>
                <c:pt idx="0">
                  <c:v>5.766697777503623</c:v>
                </c:pt>
                <c:pt idx="1">
                  <c:v>-17.379555497765409</c:v>
                </c:pt>
                <c:pt idx="2">
                  <c:v>-13.370414027591551</c:v>
                </c:pt>
                <c:pt idx="3">
                  <c:v>3.907728645835391</c:v>
                </c:pt>
                <c:pt idx="4">
                  <c:v>17.730987700533774</c:v>
                </c:pt>
                <c:pt idx="5">
                  <c:v>22.242810195271772</c:v>
                </c:pt>
                <c:pt idx="6">
                  <c:v>33.579359379096672</c:v>
                </c:pt>
                <c:pt idx="7">
                  <c:v>-12.350665715418017</c:v>
                </c:pt>
                <c:pt idx="8">
                  <c:v>10.221521691408725</c:v>
                </c:pt>
                <c:pt idx="9">
                  <c:v>-15.304512771321015</c:v>
                </c:pt>
                <c:pt idx="10">
                  <c:v>-4.0729825863187443</c:v>
                </c:pt>
                <c:pt idx="11">
                  <c:v>-15.96852442461045</c:v>
                </c:pt>
                <c:pt idx="12">
                  <c:v>-21.670190289989478</c:v>
                </c:pt>
                <c:pt idx="13">
                  <c:v>-7.2652819640336475</c:v>
                </c:pt>
                <c:pt idx="14">
                  <c:v>-5.6387504294898463</c:v>
                </c:pt>
                <c:pt idx="15">
                  <c:v>-9.8133590242703121</c:v>
                </c:pt>
                <c:pt idx="16">
                  <c:v>-7.1785212453337408</c:v>
                </c:pt>
                <c:pt idx="17">
                  <c:v>2.9855839720335666</c:v>
                </c:pt>
                <c:pt idx="18">
                  <c:v>7.1554066690591753</c:v>
                </c:pt>
                <c:pt idx="19">
                  <c:v>16.607330479447569</c:v>
                </c:pt>
                <c:pt idx="20">
                  <c:v>21.847484501975543</c:v>
                </c:pt>
                <c:pt idx="21">
                  <c:v>18.232779149692817</c:v>
                </c:pt>
                <c:pt idx="22">
                  <c:v>1.4680825022204544</c:v>
                </c:pt>
                <c:pt idx="23">
                  <c:v>-21.640075914516956</c:v>
                </c:pt>
                <c:pt idx="24">
                  <c:v>-12.396354529420478</c:v>
                </c:pt>
                <c:pt idx="25">
                  <c:v>-9.4980499394379763</c:v>
                </c:pt>
                <c:pt idx="26">
                  <c:v>11.801465695441976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D-FF42-8B84-64FC1DB14811}"/>
            </c:ext>
          </c:extLst>
        </c:ser>
        <c:ser>
          <c:idx val="1"/>
          <c:order val="1"/>
          <c:tx>
            <c:v>Share Price Change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STOCK!$D$2:$D$179</c:f>
              <c:numCache>
                <c:formatCode>m/d/yy</c:formatCode>
                <c:ptCount val="178"/>
                <c:pt idx="0">
                  <c:v>43739</c:v>
                </c:pt>
                <c:pt idx="1">
                  <c:v>43709</c:v>
                </c:pt>
                <c:pt idx="2">
                  <c:v>43678</c:v>
                </c:pt>
                <c:pt idx="3">
                  <c:v>43647</c:v>
                </c:pt>
                <c:pt idx="4">
                  <c:v>43617</c:v>
                </c:pt>
                <c:pt idx="5">
                  <c:v>43586</c:v>
                </c:pt>
                <c:pt idx="6">
                  <c:v>43556</c:v>
                </c:pt>
                <c:pt idx="7">
                  <c:v>43525</c:v>
                </c:pt>
                <c:pt idx="8">
                  <c:v>43497</c:v>
                </c:pt>
                <c:pt idx="9">
                  <c:v>43466</c:v>
                </c:pt>
                <c:pt idx="10">
                  <c:v>43435</c:v>
                </c:pt>
                <c:pt idx="11">
                  <c:v>43405</c:v>
                </c:pt>
                <c:pt idx="12">
                  <c:v>43374</c:v>
                </c:pt>
                <c:pt idx="13">
                  <c:v>43344</c:v>
                </c:pt>
                <c:pt idx="14">
                  <c:v>43313</c:v>
                </c:pt>
                <c:pt idx="15">
                  <c:v>43282</c:v>
                </c:pt>
                <c:pt idx="16">
                  <c:v>43252</c:v>
                </c:pt>
                <c:pt idx="17">
                  <c:v>43221</c:v>
                </c:pt>
                <c:pt idx="18">
                  <c:v>43191</c:v>
                </c:pt>
                <c:pt idx="19">
                  <c:v>43160</c:v>
                </c:pt>
                <c:pt idx="20">
                  <c:v>43132</c:v>
                </c:pt>
                <c:pt idx="21">
                  <c:v>43101</c:v>
                </c:pt>
                <c:pt idx="22">
                  <c:v>43070</c:v>
                </c:pt>
                <c:pt idx="23">
                  <c:v>43040</c:v>
                </c:pt>
                <c:pt idx="24">
                  <c:v>43009</c:v>
                </c:pt>
                <c:pt idx="25">
                  <c:v>42979</c:v>
                </c:pt>
                <c:pt idx="26">
                  <c:v>42948</c:v>
                </c:pt>
                <c:pt idx="27">
                  <c:v>42917</c:v>
                </c:pt>
                <c:pt idx="28">
                  <c:v>42887</c:v>
                </c:pt>
                <c:pt idx="29">
                  <c:v>42856</c:v>
                </c:pt>
                <c:pt idx="30">
                  <c:v>42826</c:v>
                </c:pt>
                <c:pt idx="31">
                  <c:v>42795</c:v>
                </c:pt>
                <c:pt idx="32">
                  <c:v>42767</c:v>
                </c:pt>
                <c:pt idx="33">
                  <c:v>42736</c:v>
                </c:pt>
                <c:pt idx="34">
                  <c:v>42705</c:v>
                </c:pt>
                <c:pt idx="35">
                  <c:v>42675</c:v>
                </c:pt>
                <c:pt idx="36">
                  <c:v>42644</c:v>
                </c:pt>
                <c:pt idx="37">
                  <c:v>42614</c:v>
                </c:pt>
                <c:pt idx="38">
                  <c:v>42583</c:v>
                </c:pt>
                <c:pt idx="39">
                  <c:v>42552</c:v>
                </c:pt>
                <c:pt idx="40">
                  <c:v>42522</c:v>
                </c:pt>
                <c:pt idx="41">
                  <c:v>42491</c:v>
                </c:pt>
                <c:pt idx="42">
                  <c:v>42461</c:v>
                </c:pt>
                <c:pt idx="43">
                  <c:v>42430</c:v>
                </c:pt>
                <c:pt idx="44">
                  <c:v>42401</c:v>
                </c:pt>
                <c:pt idx="45">
                  <c:v>42370</c:v>
                </c:pt>
                <c:pt idx="46">
                  <c:v>42339</c:v>
                </c:pt>
                <c:pt idx="47">
                  <c:v>42309</c:v>
                </c:pt>
                <c:pt idx="48">
                  <c:v>42278</c:v>
                </c:pt>
                <c:pt idx="49">
                  <c:v>42248</c:v>
                </c:pt>
                <c:pt idx="50">
                  <c:v>42217</c:v>
                </c:pt>
                <c:pt idx="51">
                  <c:v>42186</c:v>
                </c:pt>
                <c:pt idx="52">
                  <c:v>42156</c:v>
                </c:pt>
                <c:pt idx="53">
                  <c:v>42125</c:v>
                </c:pt>
                <c:pt idx="54">
                  <c:v>42095</c:v>
                </c:pt>
                <c:pt idx="55">
                  <c:v>42064</c:v>
                </c:pt>
                <c:pt idx="56">
                  <c:v>42036</c:v>
                </c:pt>
                <c:pt idx="57">
                  <c:v>42005</c:v>
                </c:pt>
                <c:pt idx="58">
                  <c:v>41974</c:v>
                </c:pt>
                <c:pt idx="59">
                  <c:v>41944</c:v>
                </c:pt>
                <c:pt idx="60">
                  <c:v>41913</c:v>
                </c:pt>
                <c:pt idx="61">
                  <c:v>41883</c:v>
                </c:pt>
                <c:pt idx="62">
                  <c:v>41852</c:v>
                </c:pt>
                <c:pt idx="63">
                  <c:v>41821</c:v>
                </c:pt>
                <c:pt idx="64">
                  <c:v>41791</c:v>
                </c:pt>
                <c:pt idx="65">
                  <c:v>41760</c:v>
                </c:pt>
                <c:pt idx="66">
                  <c:v>41730</c:v>
                </c:pt>
                <c:pt idx="67">
                  <c:v>41699</c:v>
                </c:pt>
                <c:pt idx="68">
                  <c:v>41671</c:v>
                </c:pt>
                <c:pt idx="69">
                  <c:v>41640</c:v>
                </c:pt>
                <c:pt idx="70">
                  <c:v>41609</c:v>
                </c:pt>
                <c:pt idx="71">
                  <c:v>41579</c:v>
                </c:pt>
                <c:pt idx="72">
                  <c:v>41548</c:v>
                </c:pt>
                <c:pt idx="73">
                  <c:v>41518</c:v>
                </c:pt>
                <c:pt idx="74">
                  <c:v>41487</c:v>
                </c:pt>
                <c:pt idx="75">
                  <c:v>41456</c:v>
                </c:pt>
                <c:pt idx="76">
                  <c:v>41426</c:v>
                </c:pt>
                <c:pt idx="77">
                  <c:v>41395</c:v>
                </c:pt>
                <c:pt idx="78">
                  <c:v>41365</c:v>
                </c:pt>
                <c:pt idx="79">
                  <c:v>41334</c:v>
                </c:pt>
                <c:pt idx="80">
                  <c:v>41306</c:v>
                </c:pt>
                <c:pt idx="81">
                  <c:v>41275</c:v>
                </c:pt>
                <c:pt idx="82">
                  <c:v>41244</c:v>
                </c:pt>
                <c:pt idx="83">
                  <c:v>41214</c:v>
                </c:pt>
                <c:pt idx="84">
                  <c:v>41183</c:v>
                </c:pt>
                <c:pt idx="85">
                  <c:v>41153</c:v>
                </c:pt>
                <c:pt idx="86">
                  <c:v>41122</c:v>
                </c:pt>
                <c:pt idx="87">
                  <c:v>41091</c:v>
                </c:pt>
                <c:pt idx="88">
                  <c:v>41061</c:v>
                </c:pt>
                <c:pt idx="89">
                  <c:v>41030</c:v>
                </c:pt>
                <c:pt idx="90">
                  <c:v>41000</c:v>
                </c:pt>
                <c:pt idx="91">
                  <c:v>40969</c:v>
                </c:pt>
                <c:pt idx="92">
                  <c:v>40940</c:v>
                </c:pt>
                <c:pt idx="93">
                  <c:v>40909</c:v>
                </c:pt>
                <c:pt idx="94">
                  <c:v>40878</c:v>
                </c:pt>
                <c:pt idx="95">
                  <c:v>40848</c:v>
                </c:pt>
                <c:pt idx="96">
                  <c:v>40817</c:v>
                </c:pt>
                <c:pt idx="97">
                  <c:v>40787</c:v>
                </c:pt>
                <c:pt idx="98">
                  <c:v>40756</c:v>
                </c:pt>
                <c:pt idx="99">
                  <c:v>40725</c:v>
                </c:pt>
                <c:pt idx="100">
                  <c:v>40695</c:v>
                </c:pt>
                <c:pt idx="101">
                  <c:v>40664</c:v>
                </c:pt>
                <c:pt idx="102">
                  <c:v>40634</c:v>
                </c:pt>
                <c:pt idx="103">
                  <c:v>40603</c:v>
                </c:pt>
                <c:pt idx="104">
                  <c:v>40575</c:v>
                </c:pt>
                <c:pt idx="105">
                  <c:v>40544</c:v>
                </c:pt>
                <c:pt idx="106">
                  <c:v>40513</c:v>
                </c:pt>
                <c:pt idx="107">
                  <c:v>40483</c:v>
                </c:pt>
                <c:pt idx="108">
                  <c:v>40452</c:v>
                </c:pt>
                <c:pt idx="109">
                  <c:v>40422</c:v>
                </c:pt>
                <c:pt idx="110">
                  <c:v>40391</c:v>
                </c:pt>
                <c:pt idx="111">
                  <c:v>40360</c:v>
                </c:pt>
                <c:pt idx="112">
                  <c:v>40330</c:v>
                </c:pt>
                <c:pt idx="113">
                  <c:v>40299</c:v>
                </c:pt>
                <c:pt idx="114">
                  <c:v>40269</c:v>
                </c:pt>
                <c:pt idx="115">
                  <c:v>40238</c:v>
                </c:pt>
                <c:pt idx="116">
                  <c:v>40210</c:v>
                </c:pt>
                <c:pt idx="117">
                  <c:v>40179</c:v>
                </c:pt>
                <c:pt idx="118">
                  <c:v>40148</c:v>
                </c:pt>
                <c:pt idx="119">
                  <c:v>40118</c:v>
                </c:pt>
                <c:pt idx="120">
                  <c:v>40087</c:v>
                </c:pt>
                <c:pt idx="121">
                  <c:v>40057</c:v>
                </c:pt>
                <c:pt idx="122">
                  <c:v>40026</c:v>
                </c:pt>
                <c:pt idx="123">
                  <c:v>39995</c:v>
                </c:pt>
                <c:pt idx="124">
                  <c:v>39965</c:v>
                </c:pt>
                <c:pt idx="125">
                  <c:v>39934</c:v>
                </c:pt>
                <c:pt idx="126">
                  <c:v>39904</c:v>
                </c:pt>
                <c:pt idx="127">
                  <c:v>39873</c:v>
                </c:pt>
                <c:pt idx="128">
                  <c:v>39845</c:v>
                </c:pt>
                <c:pt idx="129">
                  <c:v>39814</c:v>
                </c:pt>
                <c:pt idx="130">
                  <c:v>39783</c:v>
                </c:pt>
                <c:pt idx="131">
                  <c:v>39753</c:v>
                </c:pt>
                <c:pt idx="132">
                  <c:v>39722</c:v>
                </c:pt>
                <c:pt idx="133">
                  <c:v>39692</c:v>
                </c:pt>
                <c:pt idx="134">
                  <c:v>39661</c:v>
                </c:pt>
                <c:pt idx="135">
                  <c:v>39630</c:v>
                </c:pt>
                <c:pt idx="136">
                  <c:v>39600</c:v>
                </c:pt>
                <c:pt idx="137">
                  <c:v>39569</c:v>
                </c:pt>
                <c:pt idx="138">
                  <c:v>39539</c:v>
                </c:pt>
                <c:pt idx="139">
                  <c:v>39508</c:v>
                </c:pt>
                <c:pt idx="140">
                  <c:v>39479</c:v>
                </c:pt>
                <c:pt idx="141">
                  <c:v>39448</c:v>
                </c:pt>
                <c:pt idx="142">
                  <c:v>39417</c:v>
                </c:pt>
                <c:pt idx="143">
                  <c:v>39387</c:v>
                </c:pt>
                <c:pt idx="144">
                  <c:v>39356</c:v>
                </c:pt>
                <c:pt idx="145">
                  <c:v>39326</c:v>
                </c:pt>
                <c:pt idx="146">
                  <c:v>39295</c:v>
                </c:pt>
                <c:pt idx="147">
                  <c:v>39264</c:v>
                </c:pt>
                <c:pt idx="148">
                  <c:v>39234</c:v>
                </c:pt>
                <c:pt idx="149">
                  <c:v>39203</c:v>
                </c:pt>
                <c:pt idx="150">
                  <c:v>39173</c:v>
                </c:pt>
                <c:pt idx="151">
                  <c:v>39142</c:v>
                </c:pt>
                <c:pt idx="152">
                  <c:v>39114</c:v>
                </c:pt>
                <c:pt idx="153">
                  <c:v>39083</c:v>
                </c:pt>
                <c:pt idx="154">
                  <c:v>39052</c:v>
                </c:pt>
                <c:pt idx="155">
                  <c:v>39022</c:v>
                </c:pt>
                <c:pt idx="156">
                  <c:v>38991</c:v>
                </c:pt>
                <c:pt idx="157">
                  <c:v>38961</c:v>
                </c:pt>
                <c:pt idx="158">
                  <c:v>38930</c:v>
                </c:pt>
                <c:pt idx="159">
                  <c:v>38899</c:v>
                </c:pt>
                <c:pt idx="160">
                  <c:v>38869</c:v>
                </c:pt>
                <c:pt idx="161">
                  <c:v>38838</c:v>
                </c:pt>
                <c:pt idx="162">
                  <c:v>38808</c:v>
                </c:pt>
                <c:pt idx="163">
                  <c:v>38777</c:v>
                </c:pt>
                <c:pt idx="164">
                  <c:v>38749</c:v>
                </c:pt>
                <c:pt idx="165">
                  <c:v>38718</c:v>
                </c:pt>
                <c:pt idx="166">
                  <c:v>38687</c:v>
                </c:pt>
                <c:pt idx="167">
                  <c:v>38657</c:v>
                </c:pt>
                <c:pt idx="168">
                  <c:v>38626</c:v>
                </c:pt>
                <c:pt idx="169">
                  <c:v>38596</c:v>
                </c:pt>
                <c:pt idx="170">
                  <c:v>38565</c:v>
                </c:pt>
                <c:pt idx="171">
                  <c:v>38534</c:v>
                </c:pt>
                <c:pt idx="172">
                  <c:v>38504</c:v>
                </c:pt>
                <c:pt idx="173">
                  <c:v>38473</c:v>
                </c:pt>
                <c:pt idx="174">
                  <c:v>38443</c:v>
                </c:pt>
                <c:pt idx="175">
                  <c:v>38412</c:v>
                </c:pt>
                <c:pt idx="176">
                  <c:v>38384</c:v>
                </c:pt>
                <c:pt idx="177">
                  <c:v>38353</c:v>
                </c:pt>
              </c:numCache>
            </c:numRef>
          </c:xVal>
          <c:yVal>
            <c:numRef>
              <c:f>STOCK!$C$2:$C$179</c:f>
              <c:numCache>
                <c:formatCode>General</c:formatCode>
                <c:ptCount val="178"/>
                <c:pt idx="0">
                  <c:v>8.7915407854984942</c:v>
                </c:pt>
                <c:pt idx="1">
                  <c:v>2.5826446280991737</c:v>
                </c:pt>
                <c:pt idx="2">
                  <c:v>5.3777487480949242</c:v>
                </c:pt>
                <c:pt idx="3">
                  <c:v>-0.6274340112505391</c:v>
                </c:pt>
                <c:pt idx="4">
                  <c:v>-1.4393858620322086</c:v>
                </c:pt>
                <c:pt idx="5">
                  <c:v>-0.91907880836677625</c:v>
                </c:pt>
                <c:pt idx="6">
                  <c:v>0.33919864320541993</c:v>
                </c:pt>
                <c:pt idx="7">
                  <c:v>13.498556304138594</c:v>
                </c:pt>
                <c:pt idx="8">
                  <c:v>-6.0366267239430123</c:v>
                </c:pt>
                <c:pt idx="9">
                  <c:v>38.024652831955045</c:v>
                </c:pt>
                <c:pt idx="10">
                  <c:v>-11.257269454444746</c:v>
                </c:pt>
                <c:pt idx="11">
                  <c:v>0.86592178770950368</c:v>
                </c:pt>
                <c:pt idx="12">
                  <c:v>-19.991060453681978</c:v>
                </c:pt>
                <c:pt idx="13">
                  <c:v>-5.2514557967178481</c:v>
                </c:pt>
                <c:pt idx="14">
                  <c:v>4.8396048396048386</c:v>
                </c:pt>
                <c:pt idx="15">
                  <c:v>13.434903047091415</c:v>
                </c:pt>
                <c:pt idx="16">
                  <c:v>0.9405185561769126</c:v>
                </c:pt>
                <c:pt idx="17">
                  <c:v>-9.6670493685418926</c:v>
                </c:pt>
                <c:pt idx="18">
                  <c:v>-2.3652056944288753</c:v>
                </c:pt>
                <c:pt idx="19">
                  <c:v>2.3989898989898863</c:v>
                </c:pt>
                <c:pt idx="20">
                  <c:v>-13.879003558718853</c:v>
                </c:pt>
                <c:pt idx="21">
                  <c:v>-3.0663089306247633</c:v>
                </c:pt>
                <c:pt idx="22">
                  <c:v>3.500942179906775</c:v>
                </c:pt>
                <c:pt idx="23">
                  <c:v>-0.13865504605328371</c:v>
                </c:pt>
                <c:pt idx="24">
                  <c:v>-30.757097791798103</c:v>
                </c:pt>
                <c:pt idx="25">
                  <c:v>4.959332037716826</c:v>
                </c:pt>
                <c:pt idx="26">
                  <c:v>2.5995125913891224</c:v>
                </c:pt>
                <c:pt idx="27">
                  <c:v>4.2658042658042596</c:v>
                </c:pt>
                <c:pt idx="28">
                  <c:v>13.51280482475309</c:v>
                </c:pt>
                <c:pt idx="29">
                  <c:v>-7.7710600564288592</c:v>
                </c:pt>
                <c:pt idx="30">
                  <c:v>-0.30539259021137155</c:v>
                </c:pt>
                <c:pt idx="31">
                  <c:v>0.74487895716946129</c:v>
                </c:pt>
                <c:pt idx="32">
                  <c:v>6.336633663366336</c:v>
                </c:pt>
                <c:pt idx="33">
                  <c:v>0.34557235421166799</c:v>
                </c:pt>
                <c:pt idx="34">
                  <c:v>-2.3289173909374776</c:v>
                </c:pt>
                <c:pt idx="35">
                  <c:v>15.98160109610491</c:v>
                </c:pt>
                <c:pt idx="36">
                  <c:v>-2.2481584234191088</c:v>
                </c:pt>
                <c:pt idx="37">
                  <c:v>-2.0704515645493666</c:v>
                </c:pt>
                <c:pt idx="38">
                  <c:v>-4.8578304661734579</c:v>
                </c:pt>
                <c:pt idx="39">
                  <c:v>13.748352428267264</c:v>
                </c:pt>
                <c:pt idx="40">
                  <c:v>-6.5295678544351787</c:v>
                </c:pt>
                <c:pt idx="41">
                  <c:v>2.0404216226670528</c:v>
                </c:pt>
                <c:pt idx="42">
                  <c:v>3.3170146867818895</c:v>
                </c:pt>
                <c:pt idx="43">
                  <c:v>-0.73390855896062168</c:v>
                </c:pt>
                <c:pt idx="44">
                  <c:v>0.50837320574163192</c:v>
                </c:pt>
                <c:pt idx="45">
                  <c:v>-16.232464929859727</c:v>
                </c:pt>
                <c:pt idx="46">
                  <c:v>9.4198264047510296</c:v>
                </c:pt>
                <c:pt idx="47">
                  <c:v>-10.805965284002927</c:v>
                </c:pt>
                <c:pt idx="48">
                  <c:v>13.44180456688545</c:v>
                </c:pt>
                <c:pt idx="49">
                  <c:v>-8.3926151761517591</c:v>
                </c:pt>
                <c:pt idx="50">
                  <c:v>-10.034285714285716</c:v>
                </c:pt>
                <c:pt idx="51">
                  <c:v>13.400725764644898</c:v>
                </c:pt>
                <c:pt idx="52">
                  <c:v>1.1359664452988441</c:v>
                </c:pt>
                <c:pt idx="53">
                  <c:v>5.9041273366648115</c:v>
                </c:pt>
                <c:pt idx="54">
                  <c:v>-6.2630117973629416</c:v>
                </c:pt>
                <c:pt idx="55">
                  <c:v>-5.1427631037603883</c:v>
                </c:pt>
                <c:pt idx="56">
                  <c:v>1.9889224572004067</c:v>
                </c:pt>
                <c:pt idx="57">
                  <c:v>6.5260146611836207</c:v>
                </c:pt>
                <c:pt idx="58">
                  <c:v>-1.6096402498020919</c:v>
                </c:pt>
                <c:pt idx="59">
                  <c:v>6.163040433280413</c:v>
                </c:pt>
                <c:pt idx="60">
                  <c:v>12.98797214602237</c:v>
                </c:pt>
                <c:pt idx="61">
                  <c:v>-0.2525784045464059</c:v>
                </c:pt>
                <c:pt idx="62">
                  <c:v>9.0304073436603449</c:v>
                </c:pt>
                <c:pt idx="63">
                  <c:v>1.4788076385654521</c:v>
                </c:pt>
                <c:pt idx="64">
                  <c:v>12.246765128741329</c:v>
                </c:pt>
                <c:pt idx="65">
                  <c:v>4.095238095238102</c:v>
                </c:pt>
                <c:pt idx="66">
                  <c:v>5.3008595988538723</c:v>
                </c:pt>
                <c:pt idx="67">
                  <c:v>-13.162478228415026</c:v>
                </c:pt>
                <c:pt idx="68">
                  <c:v>5.8188520273828361</c:v>
                </c:pt>
                <c:pt idx="69">
                  <c:v>-10.085227272727284</c:v>
                </c:pt>
                <c:pt idx="70">
                  <c:v>4.4381258499196479</c:v>
                </c:pt>
                <c:pt idx="71">
                  <c:v>8.9427609427609429</c:v>
                </c:pt>
                <c:pt idx="72">
                  <c:v>-3.6590112884390726</c:v>
                </c:pt>
                <c:pt idx="73">
                  <c:v>10.115730818688382</c:v>
                </c:pt>
                <c:pt idx="74">
                  <c:v>-4.6847337600435948</c:v>
                </c:pt>
                <c:pt idx="75">
                  <c:v>25.542827833817753</c:v>
                </c:pt>
                <c:pt idx="76">
                  <c:v>-5.4019084586770125</c:v>
                </c:pt>
                <c:pt idx="77">
                  <c:v>4.7256097560975592</c:v>
                </c:pt>
                <c:pt idx="78">
                  <c:v>1.8633540372670778</c:v>
                </c:pt>
                <c:pt idx="79">
                  <c:v>12.260313771063331</c:v>
                </c:pt>
                <c:pt idx="80">
                  <c:v>4.3451899757477888</c:v>
                </c:pt>
                <c:pt idx="81">
                  <c:v>26.095820591233423</c:v>
                </c:pt>
                <c:pt idx="82">
                  <c:v>-0.1272588444896848</c:v>
                </c:pt>
                <c:pt idx="83">
                  <c:v>7.1448050177256546</c:v>
                </c:pt>
                <c:pt idx="84">
                  <c:v>-4.0052356020942437</c:v>
                </c:pt>
                <c:pt idx="85">
                  <c:v>6.0521932259855626</c:v>
                </c:pt>
                <c:pt idx="86">
                  <c:v>5.2293309962021803</c:v>
                </c:pt>
                <c:pt idx="87">
                  <c:v>6.7019950124688235</c:v>
                </c:pt>
                <c:pt idx="88">
                  <c:v>-5.9788980070339957</c:v>
                </c:pt>
                <c:pt idx="89">
                  <c:v>-6.4179923203510789</c:v>
                </c:pt>
                <c:pt idx="90">
                  <c:v>-5.9339525283797663</c:v>
                </c:pt>
                <c:pt idx="91">
                  <c:v>5.7283142389525414</c:v>
                </c:pt>
                <c:pt idx="92">
                  <c:v>0.85281980742777208</c:v>
                </c:pt>
                <c:pt idx="93">
                  <c:v>7.5443786982248655</c:v>
                </c:pt>
                <c:pt idx="94">
                  <c:v>7.1655041217501525</c:v>
                </c:pt>
                <c:pt idx="95">
                  <c:v>-2.7143738433066087</c:v>
                </c:pt>
                <c:pt idx="96">
                  <c:v>4.7157622739018112</c:v>
                </c:pt>
                <c:pt idx="97">
                  <c:v>4.1022192333557586</c:v>
                </c:pt>
                <c:pt idx="98">
                  <c:v>0.30354131534569939</c:v>
                </c:pt>
                <c:pt idx="99">
                  <c:v>-1.6909814323607479</c:v>
                </c:pt>
                <c:pt idx="100">
                  <c:v>-0.98489822718319342</c:v>
                </c:pt>
                <c:pt idx="101">
                  <c:v>3.4646739130434767</c:v>
                </c:pt>
                <c:pt idx="102">
                  <c:v>2.2577283779090038</c:v>
                </c:pt>
                <c:pt idx="103">
                  <c:v>8.4369114877589393</c:v>
                </c:pt>
                <c:pt idx="104">
                  <c:v>3.0667701863354004</c:v>
                </c:pt>
                <c:pt idx="105">
                  <c:v>-12.884680419343926</c:v>
                </c:pt>
                <c:pt idx="106">
                  <c:v>-0.40417649040081166</c:v>
                </c:pt>
                <c:pt idx="107">
                  <c:v>-4.2566913898742351</c:v>
                </c:pt>
                <c:pt idx="108">
                  <c:v>7.6736111111111143</c:v>
                </c:pt>
                <c:pt idx="109">
                  <c:v>11.888111888111897</c:v>
                </c:pt>
                <c:pt idx="110">
                  <c:v>-6.6715010877447432</c:v>
                </c:pt>
                <c:pt idx="111">
                  <c:v>8.5399449035812598</c:v>
                </c:pt>
                <c:pt idx="112">
                  <c:v>-3.6770280515542035</c:v>
                </c:pt>
                <c:pt idx="113">
                  <c:v>-14.903225806451617</c:v>
                </c:pt>
                <c:pt idx="114">
                  <c:v>6.4557779212393723E-2</c:v>
                </c:pt>
                <c:pt idx="115">
                  <c:v>4.0994623655913935</c:v>
                </c:pt>
                <c:pt idx="116">
                  <c:v>4.8256428319830968</c:v>
                </c:pt>
                <c:pt idx="117">
                  <c:v>1.9755747126436807</c:v>
                </c:pt>
                <c:pt idx="118">
                  <c:v>0.4329004329004365</c:v>
                </c:pt>
                <c:pt idx="119">
                  <c:v>8.620689655172411</c:v>
                </c:pt>
                <c:pt idx="120">
                  <c:v>-8.694096601073344</c:v>
                </c:pt>
                <c:pt idx="121">
                  <c:v>7.1702453987730106</c:v>
                </c:pt>
                <c:pt idx="122">
                  <c:v>-8.4269662921348392</c:v>
                </c:pt>
                <c:pt idx="123">
                  <c:v>19.063545150501668</c:v>
                </c:pt>
                <c:pt idx="124">
                  <c:v>13.25757575757576</c:v>
                </c:pt>
                <c:pt idx="125">
                  <c:v>-1.1235955056179703</c:v>
                </c:pt>
                <c:pt idx="126">
                  <c:v>-3.7837837837837833</c:v>
                </c:pt>
                <c:pt idx="127">
                  <c:v>-0.71556350626118137</c:v>
                </c:pt>
                <c:pt idx="128">
                  <c:v>-15.558912386706952</c:v>
                </c:pt>
                <c:pt idx="129">
                  <c:v>-4.1968162083936331</c:v>
                </c:pt>
                <c:pt idx="130">
                  <c:v>6.1036468330134355</c:v>
                </c:pt>
                <c:pt idx="131">
                  <c:v>-18.923124805477752</c:v>
                </c:pt>
                <c:pt idx="132">
                  <c:v>1.5486725663716876</c:v>
                </c:pt>
                <c:pt idx="133">
                  <c:v>-8.6868686868686815</c:v>
                </c:pt>
                <c:pt idx="134">
                  <c:v>-8.1875993640699605</c:v>
                </c:pt>
                <c:pt idx="135">
                  <c:v>18.1960538678359</c:v>
                </c:pt>
                <c:pt idx="136">
                  <c:v>4.9293460400920148</c:v>
                </c:pt>
                <c:pt idx="137">
                  <c:v>-2.0598648213710993</c:v>
                </c:pt>
                <c:pt idx="138">
                  <c:v>1.4033942558746726</c:v>
                </c:pt>
                <c:pt idx="139">
                  <c:v>8.652482269503551</c:v>
                </c:pt>
                <c:pt idx="140">
                  <c:v>0.49893086243763568</c:v>
                </c:pt>
                <c:pt idx="141">
                  <c:v>21.471861471861459</c:v>
                </c:pt>
                <c:pt idx="142">
                  <c:v>-24.951267056530213</c:v>
                </c:pt>
                <c:pt idx="143">
                  <c:v>-6.727272727272724</c:v>
                </c:pt>
                <c:pt idx="144">
                  <c:v>-7.4333800841514694</c:v>
                </c:pt>
                <c:pt idx="145">
                  <c:v>11.059190031152639</c:v>
                </c:pt>
                <c:pt idx="146">
                  <c:v>6.0105680317040955</c:v>
                </c:pt>
                <c:pt idx="147">
                  <c:v>5.6156260899895338</c:v>
                </c:pt>
                <c:pt idx="148">
                  <c:v>-6.307189542483659</c:v>
                </c:pt>
                <c:pt idx="149">
                  <c:v>6.5402223675615198E-2</c:v>
                </c:pt>
                <c:pt idx="150">
                  <c:v>16.584064048799075</c:v>
                </c:pt>
                <c:pt idx="151">
                  <c:v>-1.5759849906191301</c:v>
                </c:pt>
                <c:pt idx="152">
                  <c:v>-0.70789865871833557</c:v>
                </c:pt>
                <c:pt idx="153">
                  <c:v>-6.6759388038943035</c:v>
                </c:pt>
                <c:pt idx="154">
                  <c:v>3.2304379038047455</c:v>
                </c:pt>
                <c:pt idx="155">
                  <c:v>4.266467065868266</c:v>
                </c:pt>
                <c:pt idx="156">
                  <c:v>23.418013856812934</c:v>
                </c:pt>
                <c:pt idx="157">
                  <c:v>6.440511307767939</c:v>
                </c:pt>
                <c:pt idx="158">
                  <c:v>-15.03759398496241</c:v>
                </c:pt>
                <c:pt idx="159">
                  <c:v>0.92748735244520419</c:v>
                </c:pt>
                <c:pt idx="160">
                  <c:v>14.478764478764479</c:v>
                </c:pt>
                <c:pt idx="161">
                  <c:v>-1.7077798861480051</c:v>
                </c:pt>
                <c:pt idx="162">
                  <c:v>-4.6585255540479471</c:v>
                </c:pt>
                <c:pt idx="163">
                  <c:v>16.368421052631575</c:v>
                </c:pt>
                <c:pt idx="164">
                  <c:v>6.8015739179314272</c:v>
                </c:pt>
                <c:pt idx="165">
                  <c:v>9.8148148148148149</c:v>
                </c:pt>
                <c:pt idx="166">
                  <c:v>6.3690085357846282</c:v>
                </c:pt>
                <c:pt idx="167">
                  <c:v>8.6305278174037152</c:v>
                </c:pt>
                <c:pt idx="168">
                  <c:v>3.2400589101619994</c:v>
                </c:pt>
                <c:pt idx="169">
                  <c:v>8.2071713147410303</c:v>
                </c:pt>
                <c:pt idx="170">
                  <c:v>4.9331103678929749</c:v>
                </c:pt>
                <c:pt idx="171">
                  <c:v>17.485265225933215</c:v>
                </c:pt>
                <c:pt idx="172">
                  <c:v>-3.7807183364839352</c:v>
                </c:pt>
                <c:pt idx="173">
                  <c:v>11.603375527426158</c:v>
                </c:pt>
                <c:pt idx="174">
                  <c:v>11.398354876615754</c:v>
                </c:pt>
                <c:pt idx="175">
                  <c:v>24.415204678362574</c:v>
                </c:pt>
                <c:pt idx="176">
                  <c:v>0</c:v>
                </c:pt>
                <c:pt idx="177">
                  <c:v>3.1674208144796374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C-7647-B983-AF359F01A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70623"/>
        <c:axId val="793021951"/>
      </c:scatterChart>
      <c:valAx>
        <c:axId val="65817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21951"/>
        <c:crosses val="autoZero"/>
        <c:crossBetween val="midCat"/>
      </c:valAx>
      <c:valAx>
        <c:axId val="79302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7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633779</xdr:colOff>
      <xdr:row>42</xdr:row>
      <xdr:rowOff>12138</xdr:rowOff>
    </xdr:from>
    <xdr:to>
      <xdr:col>28</xdr:col>
      <xdr:colOff>185455</xdr:colOff>
      <xdr:row>61</xdr:row>
      <xdr:rowOff>182655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49BA3-72D7-F5D4-DAE5-2CC942BA6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510851</xdr:colOff>
      <xdr:row>37</xdr:row>
      <xdr:rowOff>64030</xdr:rowOff>
    </xdr:from>
    <xdr:to>
      <xdr:col>19</xdr:col>
      <xdr:colOff>129851</xdr:colOff>
      <xdr:row>50</xdr:row>
      <xdr:rowOff>115910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435AA7-0A7D-D11F-BF85-58C8AF24D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496026</xdr:colOff>
      <xdr:row>54</xdr:row>
      <xdr:rowOff>141752</xdr:rowOff>
    </xdr:from>
    <xdr:to>
      <xdr:col>19</xdr:col>
      <xdr:colOff>88620</xdr:colOff>
      <xdr:row>68</xdr:row>
      <xdr:rowOff>89776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2CEFD6-5A89-D8BC-872C-60457624C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531913</xdr:colOff>
      <xdr:row>70</xdr:row>
      <xdr:rowOff>2868</xdr:rowOff>
    </xdr:from>
    <xdr:to>
      <xdr:col>23</xdr:col>
      <xdr:colOff>609600</xdr:colOff>
      <xdr:row>95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2FDFCF-5319-E93F-244D-919193068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6924E-85E4-CF42-AB72-97723A682B4B}" name="Table1" displayName="Table1" ref="A1:T15" totalsRowShown="0" headerRowDxfId="12">
  <autoFilter ref="A1:T15" xr:uid="{9D46924E-85E4-CF42-AB72-97723A682B4B}"/>
  <sortState xmlns:xlrd2="http://schemas.microsoft.com/office/spreadsheetml/2017/richdata2" ref="A2:S15">
    <sortCondition descending="1" ref="A1:A15"/>
  </sortState>
  <tableColumns count="20">
    <tableColumn id="1" xr3:uid="{D28556AF-8300-4F43-8F4D-86C8FED16A4F}" name="Year" dataDxfId="11"/>
    <tableColumn id="2" xr3:uid="{27E6FAFD-7D12-7243-81B9-E46BD3C26EE5}" name="Brand Name" dataDxfId="10"/>
    <tableColumn id="3" xr3:uid="{EF5AD90F-C711-A344-A68B-8DD15724A2EC}" name="Generic Name" dataDxfId="9"/>
    <tableColumn id="4" xr3:uid="{67E64295-2D09-C547-94A6-A828AF4D78A4}" name="Total Spending" dataDxfId="8"/>
    <tableColumn id="5" xr3:uid="{E1B860DD-CC05-514D-8F78-2587D6F9C548}" name="Beneficiary Count" dataDxfId="7"/>
    <tableColumn id="6" xr3:uid="{DC28A18C-A12E-B44A-80EA-D0CAC94A7A47}" name="Unit Count" dataDxfId="6"/>
    <tableColumn id="7" xr3:uid="{0CB04A27-8E2E-B44F-9D38-087BF972AA60}" name="Beneficiary Cost Share" dataDxfId="5"/>
    <tableColumn id="8" xr3:uid="{893616D5-4528-E046-A0F1-E66780D0D629}" name="Total Annual Spending Per User" dataDxfId="4"/>
    <tableColumn id="9" xr3:uid="{2C3FDA58-7744-1C4E-ABA7-1B8761C41B08}" name="Avg Cost Per Unit" dataDxfId="3"/>
    <tableColumn id="10" xr3:uid="{6AB2BEA3-B025-9647-A67D-DFE527DCD800}" name="Average Annual Beneficiary Cost Share" dataDxfId="2"/>
    <tableColumn id="11" xr3:uid="{65E83961-2ABF-4043-B1FF-2A18F78D75A0}" name="Claim Count" dataDxfId="1"/>
    <tableColumn id="12" xr3:uid="{E4646F3F-1729-294B-86A6-CD4FD16B505F}" name="Beneficiary Count LIS"/>
    <tableColumn id="13" xr3:uid="{BD8F3A2C-40E0-1A4D-8C59-66835E25D7F9}" name="Beneficiary Count No LIS"/>
    <tableColumn id="14" xr3:uid="{9EB5B626-D434-834B-BC1E-07F1C64208DF}" name="Beneficiary Cost Share LIS"/>
    <tableColumn id="15" xr3:uid="{8C3F9A15-3097-FD46-BBE1-D090ABF0C90B}" name="Beneficiary Cost Share No LIS"/>
    <tableColumn id="16" xr3:uid="{23353C65-7AC1-3E44-A088-9DAD7F65B0F6}" name="Avg Bene Cost Share LIS"/>
    <tableColumn id="17" xr3:uid="{B9CC42C2-B15F-8347-AA4F-D1D7C3173DAC}" name="Avg Bene Cost Share No LIS"/>
    <tableColumn id="18" xr3:uid="{93050B39-3324-8B40-BCBB-CE2A4E8CC1A3}" name="Calc_Average_Spending_Per_Claim" dataDxfId="0"/>
    <tableColumn id="19" xr3:uid="{435D68FF-EE67-7D4C-B2CE-A143EDC71579}" name="Source"/>
    <tableColumn id="20" xr3:uid="{F726772D-3568-2042-930D-DFF5890311B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C7A0-7E6A-B049-9429-5F81D89CE576}">
  <dimension ref="A1:O60"/>
  <sheetViews>
    <sheetView topLeftCell="A4" workbookViewId="0">
      <selection activeCell="O34" sqref="O34"/>
    </sheetView>
  </sheetViews>
  <sheetFormatPr baseColWidth="10" defaultRowHeight="16" x14ac:dyDescent="0.2"/>
  <cols>
    <col min="2" max="6" width="11" bestFit="1" customWidth="1"/>
    <col min="7" max="7" width="12.33203125" bestFit="1" customWidth="1"/>
    <col min="8" max="8" width="11.83203125" bestFit="1" customWidth="1"/>
    <col min="9" max="9" width="11" bestFit="1" customWidth="1"/>
    <col min="10" max="10" width="12.83203125" bestFit="1" customWidth="1"/>
    <col min="11" max="12" width="11" bestFit="1" customWidth="1"/>
    <col min="13" max="13" width="12.83203125" bestFit="1" customWidth="1"/>
  </cols>
  <sheetData>
    <row r="1" spans="1:15" x14ac:dyDescent="0.2">
      <c r="C1" s="1" t="s">
        <v>0</v>
      </c>
    </row>
    <row r="2" spans="1:15" x14ac:dyDescent="0.2">
      <c r="C2" s="2" t="s">
        <v>1</v>
      </c>
    </row>
    <row r="3" spans="1:15" x14ac:dyDescent="0.2">
      <c r="C3" s="2" t="s">
        <v>2</v>
      </c>
    </row>
    <row r="4" spans="1:15" x14ac:dyDescent="0.2">
      <c r="C4" s="2" t="s">
        <v>3</v>
      </c>
    </row>
    <row r="5" spans="1:15" x14ac:dyDescent="0.2">
      <c r="C5" s="2" t="s">
        <v>7</v>
      </c>
      <c r="D5" t="s">
        <v>8</v>
      </c>
    </row>
    <row r="6" spans="1:15" x14ac:dyDescent="0.2">
      <c r="C6" s="1"/>
    </row>
    <row r="7" spans="1:15" x14ac:dyDescent="0.2">
      <c r="C7" s="1"/>
    </row>
    <row r="8" spans="1:15" x14ac:dyDescent="0.2">
      <c r="C8" s="2" t="s">
        <v>4</v>
      </c>
      <c r="D8" s="2" t="s">
        <v>5</v>
      </c>
      <c r="E8" s="2" t="s">
        <v>6</v>
      </c>
      <c r="F8" s="2" t="s">
        <v>12</v>
      </c>
      <c r="G8" s="2" t="s">
        <v>11</v>
      </c>
      <c r="H8" s="2" t="s">
        <v>21</v>
      </c>
      <c r="I8" s="2" t="s">
        <v>22</v>
      </c>
      <c r="J8" s="2" t="s">
        <v>27</v>
      </c>
      <c r="K8" s="2" t="s">
        <v>422</v>
      </c>
      <c r="L8" s="2" t="s">
        <v>29</v>
      </c>
      <c r="M8" s="2" t="s">
        <v>30</v>
      </c>
      <c r="N8" s="2" t="s">
        <v>31</v>
      </c>
      <c r="O8" s="2" t="s">
        <v>423</v>
      </c>
    </row>
    <row r="9" spans="1:15" x14ac:dyDescent="0.2">
      <c r="A9">
        <f t="shared" ref="A9:A33" si="0">A10+1</f>
        <v>27</v>
      </c>
      <c r="B9">
        <f t="shared" ref="B9:B33" si="1">C9-C$35</f>
        <v>6759</v>
      </c>
      <c r="C9" s="4">
        <v>45474</v>
      </c>
      <c r="D9" s="1">
        <v>1069.8607999999999</v>
      </c>
      <c r="E9" s="1">
        <v>7</v>
      </c>
      <c r="F9" t="b">
        <f>IF(D9&lt;D10,TRUE,FALSE)</f>
        <v>0</v>
      </c>
      <c r="G9" cm="1">
        <f t="array" ref="G9">SUMPRODUCT(B9^{5,4,3,2,1,0}, LINEST(D$9:D$35,B$9:B$35^{1,2,3,4,5}))</f>
        <v>1064.0941022224963</v>
      </c>
      <c r="H9" t="b">
        <f t="shared" ref="H9:H35" si="2">IF(G9&lt;G10,TRUE,FALSE)</f>
        <v>0</v>
      </c>
      <c r="I9">
        <f t="shared" ref="I9:I35" si="3">(5*G$39*(B9^4))+(4*H$39*(B9^3))+(3*I$39*(B9^2))+(2*J$39*(B9^1))+(1*K$39*(B9^0))</f>
        <v>-1.5695895016175632E-2</v>
      </c>
      <c r="J9">
        <f t="shared" ref="J9:J35" si="4">B9 - (G9 - D9) / I9</f>
        <v>6391.5983467931792</v>
      </c>
      <c r="K9" s="3">
        <f t="shared" ref="K9:K35" si="5">C$35+J9</f>
        <v>45106.59834679318</v>
      </c>
      <c r="L9">
        <f>J9-J10</f>
        <v>702.04492449158988</v>
      </c>
      <c r="M9" s="14">
        <f>D9-G9</f>
        <v>5.766697777503623</v>
      </c>
      <c r="N9">
        <f>B9-J9</f>
        <v>367.40165320682081</v>
      </c>
      <c r="O9">
        <f t="shared" ref="O9:O33" si="6">(B9-B10)*(D10)</f>
        <v>911881.34880000004</v>
      </c>
    </row>
    <row r="10" spans="1:15" x14ac:dyDescent="0.2">
      <c r="A10">
        <f t="shared" si="0"/>
        <v>26</v>
      </c>
      <c r="B10">
        <f t="shared" si="1"/>
        <v>5847</v>
      </c>
      <c r="C10" s="4">
        <v>44562</v>
      </c>
      <c r="D10" s="1">
        <v>999.86990000000003</v>
      </c>
      <c r="E10" s="1">
        <v>4.5</v>
      </c>
      <c r="F10" t="b">
        <f t="shared" ref="F10:F35" si="7">IF(D10&lt;D11,TRUE,FALSE)</f>
        <v>0</v>
      </c>
      <c r="G10" cm="1">
        <f t="array" ref="G10">SUMPRODUCT(B10^{5,4,3,2,1,0}, LINEST(D$9:D$35,B$9:B$35^{1,2,3,4,5}))</f>
        <v>1017.2494554977654</v>
      </c>
      <c r="H10" t="b">
        <f t="shared" si="2"/>
        <v>0</v>
      </c>
      <c r="I10">
        <f t="shared" si="3"/>
        <v>0.11038382511594502</v>
      </c>
      <c r="J10">
        <f t="shared" si="4"/>
        <v>5689.5534223015893</v>
      </c>
      <c r="K10" s="3">
        <f t="shared" si="5"/>
        <v>44404.553422301586</v>
      </c>
      <c r="L10">
        <f t="shared" ref="L10:L34" si="8">J10-J11</f>
        <v>299.16411626476474</v>
      </c>
      <c r="M10" s="14">
        <f t="shared" ref="M10:M35" si="9">D10-G10</f>
        <v>-17.379555497765409</v>
      </c>
      <c r="N10">
        <f t="shared" ref="N10:N35" si="10">B10-J10</f>
        <v>157.44657769841069</v>
      </c>
      <c r="O10">
        <f t="shared" si="6"/>
        <v>349236.85450000002</v>
      </c>
    </row>
    <row r="11" spans="1:15" x14ac:dyDescent="0.2">
      <c r="A11">
        <f t="shared" si="0"/>
        <v>25</v>
      </c>
      <c r="B11">
        <f t="shared" si="1"/>
        <v>5482</v>
      </c>
      <c r="C11" s="4">
        <v>44197</v>
      </c>
      <c r="D11" s="1">
        <v>956.81330000000003</v>
      </c>
      <c r="E11" s="1">
        <v>4.5</v>
      </c>
      <c r="F11" t="b">
        <f t="shared" si="7"/>
        <v>0</v>
      </c>
      <c r="G11" cm="1">
        <f t="array" ref="G11">SUMPRODUCT(B11^{5,4,3,2,1,0}, LINEST(D$9:D$35,B$9:B$35^{1,2,3,4,5}))</f>
        <v>970.18371402759158</v>
      </c>
      <c r="H11" t="b">
        <f t="shared" si="2"/>
        <v>0</v>
      </c>
      <c r="I11">
        <f t="shared" si="3"/>
        <v>0.1459481797285147</v>
      </c>
      <c r="J11">
        <f t="shared" si="4"/>
        <v>5390.3893060368246</v>
      </c>
      <c r="K11" s="3">
        <f t="shared" si="5"/>
        <v>44105.389306036828</v>
      </c>
      <c r="L11">
        <f t="shared" si="8"/>
        <v>251.66805272575493</v>
      </c>
      <c r="M11" s="14">
        <f t="shared" si="9"/>
        <v>-13.370414027591551</v>
      </c>
      <c r="N11">
        <f t="shared" si="10"/>
        <v>91.610693963175436</v>
      </c>
      <c r="O11">
        <f t="shared" si="6"/>
        <v>335113.5528</v>
      </c>
    </row>
    <row r="12" spans="1:15" x14ac:dyDescent="0.2">
      <c r="A12">
        <f t="shared" si="0"/>
        <v>24</v>
      </c>
      <c r="B12">
        <f t="shared" si="1"/>
        <v>5116</v>
      </c>
      <c r="C12" s="4">
        <v>43831</v>
      </c>
      <c r="D12" s="1">
        <v>915.61080000000004</v>
      </c>
      <c r="E12" s="1">
        <v>6</v>
      </c>
      <c r="F12" t="b">
        <f t="shared" si="7"/>
        <v>0</v>
      </c>
      <c r="G12" cm="1">
        <f t="array" ref="G12">SUMPRODUCT(B12^{5,4,3,2,1,0}, LINEST(D$9:D$35,B$9:B$35^{1,2,3,4,5}))</f>
        <v>911.70307135416465</v>
      </c>
      <c r="H12" t="b">
        <f t="shared" si="2"/>
        <v>0</v>
      </c>
      <c r="I12">
        <f t="shared" si="3"/>
        <v>0.17198561154773961</v>
      </c>
      <c r="J12">
        <f t="shared" si="4"/>
        <v>5138.7212533110696</v>
      </c>
      <c r="K12" s="3">
        <f t="shared" si="5"/>
        <v>43853.721253311072</v>
      </c>
      <c r="L12">
        <f t="shared" si="8"/>
        <v>291.46901661277479</v>
      </c>
      <c r="M12" s="14">
        <f t="shared" si="9"/>
        <v>3.907728645835391</v>
      </c>
      <c r="N12">
        <f t="shared" si="10"/>
        <v>-22.721253311069631</v>
      </c>
      <c r="O12">
        <f t="shared" si="6"/>
        <v>313553.51939999999</v>
      </c>
    </row>
    <row r="13" spans="1:15" x14ac:dyDescent="0.2">
      <c r="A13">
        <f t="shared" si="0"/>
        <v>23</v>
      </c>
      <c r="B13">
        <f t="shared" si="1"/>
        <v>4753</v>
      </c>
      <c r="C13" s="4">
        <v>43468</v>
      </c>
      <c r="D13" s="1">
        <v>863.78380000000004</v>
      </c>
      <c r="E13" s="1">
        <v>3.5</v>
      </c>
      <c r="F13" t="b">
        <f t="shared" si="7"/>
        <v>0</v>
      </c>
      <c r="G13" cm="1">
        <f t="array" ref="G13">SUMPRODUCT(B13^{5,4,3,2,1,0}, LINEST(D$9:D$35,B$9:B$35^{1,2,3,4,5}))</f>
        <v>846.05281229946627</v>
      </c>
      <c r="H13" t="b">
        <f t="shared" si="2"/>
        <v>0</v>
      </c>
      <c r="I13">
        <f t="shared" si="3"/>
        <v>0.18812272601329716</v>
      </c>
      <c r="J13">
        <f t="shared" si="4"/>
        <v>4847.2522366982948</v>
      </c>
      <c r="K13" s="3">
        <f t="shared" si="5"/>
        <v>43562.252236698296</v>
      </c>
      <c r="L13">
        <f t="shared" si="8"/>
        <v>155.73199202361047</v>
      </c>
      <c r="M13" s="14">
        <f t="shared" si="9"/>
        <v>17.730987700533774</v>
      </c>
      <c r="N13">
        <f t="shared" si="10"/>
        <v>-94.252236698294837</v>
      </c>
      <c r="O13">
        <f t="shared" si="6"/>
        <v>147719.5626</v>
      </c>
    </row>
    <row r="14" spans="1:15" x14ac:dyDescent="0.2">
      <c r="A14">
        <f t="shared" si="0"/>
        <v>22</v>
      </c>
      <c r="B14">
        <f t="shared" si="1"/>
        <v>4576</v>
      </c>
      <c r="C14" s="4">
        <v>43291</v>
      </c>
      <c r="D14" s="1">
        <v>834.57380000000001</v>
      </c>
      <c r="E14" s="1">
        <v>5</v>
      </c>
      <c r="F14" t="b">
        <f t="shared" si="7"/>
        <v>0</v>
      </c>
      <c r="G14" cm="1">
        <f t="array" ref="G14">SUMPRODUCT(B14^{5,4,3,2,1,0}, LINEST(D$9:D$35,B$9:B$35^{1,2,3,4,5}))</f>
        <v>812.33098980472823</v>
      </c>
      <c r="H14" t="b">
        <f t="shared" si="2"/>
        <v>0</v>
      </c>
      <c r="I14">
        <f t="shared" si="3"/>
        <v>0.192544694290681</v>
      </c>
      <c r="J14">
        <f t="shared" si="4"/>
        <v>4691.5202446746844</v>
      </c>
      <c r="K14" s="3">
        <f t="shared" si="5"/>
        <v>43406.520244674684</v>
      </c>
      <c r="L14">
        <f t="shared" si="8"/>
        <v>206.40622502017777</v>
      </c>
      <c r="M14" s="14">
        <f t="shared" si="9"/>
        <v>22.242810195271772</v>
      </c>
      <c r="N14">
        <f t="shared" si="10"/>
        <v>-115.52024467468436</v>
      </c>
      <c r="O14">
        <f t="shared" si="6"/>
        <v>209040.84229999999</v>
      </c>
    </row>
    <row r="15" spans="1:15" x14ac:dyDescent="0.2">
      <c r="A15">
        <f t="shared" si="0"/>
        <v>21</v>
      </c>
      <c r="B15">
        <f t="shared" si="1"/>
        <v>4313</v>
      </c>
      <c r="C15" s="4">
        <v>43028</v>
      </c>
      <c r="D15" s="1">
        <v>794.83209999999997</v>
      </c>
      <c r="E15" s="1">
        <v>9</v>
      </c>
      <c r="F15" t="b">
        <f t="shared" si="7"/>
        <v>0</v>
      </c>
      <c r="G15" cm="1">
        <f t="array" ref="G15">SUMPRODUCT(B15^{5,4,3,2,1,0}, LINEST(D$9:D$35,B$9:B$35^{1,2,3,4,5}))</f>
        <v>761.2527406209033</v>
      </c>
      <c r="H15" t="b">
        <f t="shared" si="2"/>
        <v>0</v>
      </c>
      <c r="I15">
        <f t="shared" si="3"/>
        <v>0.19509950117080654</v>
      </c>
      <c r="J15">
        <f t="shared" si="4"/>
        <v>4485.1140196545066</v>
      </c>
      <c r="K15" s="3">
        <f t="shared" si="5"/>
        <v>43200.114019654509</v>
      </c>
      <c r="L15">
        <f t="shared" si="8"/>
        <v>336.49783558249601</v>
      </c>
      <c r="M15" s="14">
        <f t="shared" si="9"/>
        <v>33.579359379096672</v>
      </c>
      <c r="N15">
        <f t="shared" si="10"/>
        <v>-172.11401965450659</v>
      </c>
      <c r="O15">
        <f t="shared" si="6"/>
        <v>73649.583799999993</v>
      </c>
    </row>
    <row r="16" spans="1:15" x14ac:dyDescent="0.2">
      <c r="A16">
        <f t="shared" si="0"/>
        <v>20</v>
      </c>
      <c r="B16">
        <f t="shared" si="1"/>
        <v>4212</v>
      </c>
      <c r="C16" s="4">
        <v>42927</v>
      </c>
      <c r="D16" s="1">
        <v>729.2038</v>
      </c>
      <c r="E16" s="1">
        <v>1.8</v>
      </c>
      <c r="F16" t="b">
        <f t="shared" si="7"/>
        <v>0</v>
      </c>
      <c r="G16" cm="1">
        <f t="array" ref="G16">SUMPRODUCT(B16^{5,4,3,2,1,0}, LINEST(D$9:D$35,B$9:B$35^{1,2,3,4,5}))</f>
        <v>741.55446571541802</v>
      </c>
      <c r="H16" t="b">
        <f t="shared" si="2"/>
        <v>0</v>
      </c>
      <c r="I16">
        <f t="shared" si="3"/>
        <v>0.1948551934684658</v>
      </c>
      <c r="J16">
        <f t="shared" si="4"/>
        <v>4148.6161840720106</v>
      </c>
      <c r="K16" s="3">
        <f t="shared" si="5"/>
        <v>42863.616184072009</v>
      </c>
      <c r="L16">
        <f t="shared" si="8"/>
        <v>64.601399532606138</v>
      </c>
      <c r="M16" s="14">
        <f t="shared" si="9"/>
        <v>-12.350665715418017</v>
      </c>
      <c r="N16">
        <f t="shared" si="10"/>
        <v>63.383815927989417</v>
      </c>
      <c r="O16">
        <f t="shared" si="6"/>
        <v>129715.8582</v>
      </c>
    </row>
    <row r="17" spans="1:15" x14ac:dyDescent="0.2">
      <c r="A17">
        <f t="shared" si="0"/>
        <v>19</v>
      </c>
      <c r="B17">
        <f t="shared" si="1"/>
        <v>4031</v>
      </c>
      <c r="C17" s="4">
        <v>42746</v>
      </c>
      <c r="D17" s="1">
        <v>716.66219999999998</v>
      </c>
      <c r="E17" s="1">
        <v>8</v>
      </c>
      <c r="F17" t="b">
        <f t="shared" si="7"/>
        <v>0</v>
      </c>
      <c r="G17" cm="1">
        <f t="array" ref="G17">SUMPRODUCT(B17^{5,4,3,2,1,0}, LINEST(D$9:D$35,B$9:B$35^{1,2,3,4,5}))</f>
        <v>706.44067830859126</v>
      </c>
      <c r="H17" t="b">
        <f t="shared" si="2"/>
        <v>0</v>
      </c>
      <c r="I17">
        <f t="shared" si="3"/>
        <v>0.19280511616172613</v>
      </c>
      <c r="J17">
        <f t="shared" si="4"/>
        <v>4084.0147845394044</v>
      </c>
      <c r="K17" s="3">
        <f t="shared" si="5"/>
        <v>42799.014784539402</v>
      </c>
      <c r="L17">
        <f t="shared" si="8"/>
        <v>277.66142607633947</v>
      </c>
      <c r="M17" s="14">
        <f t="shared" si="9"/>
        <v>10.221521691408725</v>
      </c>
      <c r="N17">
        <f t="shared" si="10"/>
        <v>-53.014784539404445</v>
      </c>
      <c r="O17">
        <f t="shared" si="6"/>
        <v>95554.972799999989</v>
      </c>
    </row>
    <row r="18" spans="1:15" x14ac:dyDescent="0.2">
      <c r="A18">
        <f t="shared" si="0"/>
        <v>18</v>
      </c>
      <c r="B18">
        <f t="shared" si="1"/>
        <v>3887</v>
      </c>
      <c r="C18" s="4">
        <v>42602</v>
      </c>
      <c r="D18" s="1">
        <v>663.57619999999997</v>
      </c>
      <c r="E18" s="1">
        <v>3</v>
      </c>
      <c r="F18" t="b">
        <f t="shared" si="7"/>
        <v>0</v>
      </c>
      <c r="G18" cm="1">
        <f t="array" ref="G18">SUMPRODUCT(B18^{5,4,3,2,1,0}, LINEST(D$9:D$35,B$9:B$35^{1,2,3,4,5}))</f>
        <v>678.88071277132099</v>
      </c>
      <c r="H18" t="b">
        <f t="shared" si="2"/>
        <v>0</v>
      </c>
      <c r="I18">
        <f t="shared" si="3"/>
        <v>0.18977247507959505</v>
      </c>
      <c r="J18">
        <f t="shared" si="4"/>
        <v>3806.353358463065</v>
      </c>
      <c r="K18" s="3">
        <f t="shared" si="5"/>
        <v>42521.353358463064</v>
      </c>
      <c r="L18">
        <f t="shared" si="8"/>
        <v>104.37564426044173</v>
      </c>
      <c r="M18" s="14">
        <f t="shared" si="9"/>
        <v>-15.304512771321015</v>
      </c>
      <c r="N18">
        <f t="shared" si="10"/>
        <v>80.646641536935022</v>
      </c>
      <c r="O18">
        <f t="shared" si="6"/>
        <v>105012.53809999999</v>
      </c>
    </row>
    <row r="19" spans="1:15" x14ac:dyDescent="0.2">
      <c r="A19">
        <f t="shared" si="0"/>
        <v>17</v>
      </c>
      <c r="B19">
        <f t="shared" si="1"/>
        <v>3724</v>
      </c>
      <c r="C19" s="4">
        <v>42439</v>
      </c>
      <c r="D19" s="1">
        <v>644.24869999999999</v>
      </c>
      <c r="E19" s="1">
        <v>6.8</v>
      </c>
      <c r="F19" t="b">
        <f t="shared" si="7"/>
        <v>0</v>
      </c>
      <c r="G19" cm="1">
        <f t="array" ref="G19">SUMPRODUCT(B19^{5,4,3,2,1,0}, LINEST(D$9:D$35,B$9:B$35^{1,2,3,4,5}))</f>
        <v>648.32168258631873</v>
      </c>
      <c r="H19" t="b">
        <f t="shared" si="2"/>
        <v>0</v>
      </c>
      <c r="I19">
        <f t="shared" si="3"/>
        <v>0.1849482212606619</v>
      </c>
      <c r="J19">
        <f t="shared" si="4"/>
        <v>3701.9777142026232</v>
      </c>
      <c r="K19" s="3">
        <f t="shared" si="5"/>
        <v>42416.977714202621</v>
      </c>
      <c r="L19">
        <f t="shared" si="8"/>
        <v>227.23909194858834</v>
      </c>
      <c r="M19" s="14">
        <f t="shared" si="9"/>
        <v>-4.0729825863187443</v>
      </c>
      <c r="N19">
        <f t="shared" si="10"/>
        <v>22.022285797376753</v>
      </c>
      <c r="O19">
        <f t="shared" si="6"/>
        <v>96516.656000000003</v>
      </c>
    </row>
    <row r="20" spans="1:15" x14ac:dyDescent="0.2">
      <c r="A20">
        <f t="shared" si="0"/>
        <v>16</v>
      </c>
      <c r="B20">
        <f t="shared" si="1"/>
        <v>3564</v>
      </c>
      <c r="C20" s="4">
        <v>42279</v>
      </c>
      <c r="D20" s="1">
        <v>603.22910000000002</v>
      </c>
      <c r="E20" s="1">
        <v>4</v>
      </c>
      <c r="F20" t="b">
        <f t="shared" si="7"/>
        <v>0</v>
      </c>
      <c r="G20" cm="1">
        <f t="array" ref="G20">SUMPRODUCT(B20^{5,4,3,2,1,0}, LINEST(D$9:D$35,B$9:B$35^{1,2,3,4,5}))</f>
        <v>619.19762442461047</v>
      </c>
      <c r="H20" t="b">
        <f t="shared" si="2"/>
        <v>0</v>
      </c>
      <c r="I20">
        <f t="shared" si="3"/>
        <v>0.17889623516742448</v>
      </c>
      <c r="J20">
        <f t="shared" si="4"/>
        <v>3474.7386222540349</v>
      </c>
      <c r="K20" s="3">
        <f t="shared" si="5"/>
        <v>42189.738622254037</v>
      </c>
      <c r="L20">
        <f t="shared" si="8"/>
        <v>133.88175359985144</v>
      </c>
      <c r="M20" s="14">
        <f t="shared" si="9"/>
        <v>-15.96852442461045</v>
      </c>
      <c r="N20">
        <f t="shared" si="10"/>
        <v>89.261377745965092</v>
      </c>
      <c r="O20">
        <f t="shared" si="6"/>
        <v>57422.762100000007</v>
      </c>
    </row>
    <row r="21" spans="1:15" x14ac:dyDescent="0.2">
      <c r="A21">
        <f t="shared" si="0"/>
        <v>15</v>
      </c>
      <c r="B21">
        <f t="shared" si="1"/>
        <v>3465</v>
      </c>
      <c r="C21" s="4">
        <v>42180</v>
      </c>
      <c r="D21" s="1">
        <v>580.02790000000005</v>
      </c>
      <c r="E21" s="1">
        <v>3</v>
      </c>
      <c r="F21" t="b">
        <f t="shared" si="7"/>
        <v>0</v>
      </c>
      <c r="G21" cm="1">
        <f t="array" ref="G21">SUMPRODUCT(B21^{5,4,3,2,1,0}, LINEST(D$9:D$35,B$9:B$35^{1,2,3,4,5}))</f>
        <v>601.69809028998952</v>
      </c>
      <c r="H21" t="b">
        <f t="shared" si="2"/>
        <v>0</v>
      </c>
      <c r="I21">
        <f t="shared" si="3"/>
        <v>0.17455810929743976</v>
      </c>
      <c r="J21">
        <f t="shared" si="4"/>
        <v>3340.8568686541835</v>
      </c>
      <c r="K21" s="3">
        <f t="shared" si="5"/>
        <v>42055.856868654184</v>
      </c>
      <c r="L21">
        <f t="shared" si="8"/>
        <v>103.77430437262274</v>
      </c>
      <c r="M21" s="14">
        <f t="shared" si="9"/>
        <v>-21.670190289989478</v>
      </c>
      <c r="N21">
        <f t="shared" si="10"/>
        <v>124.14313134581653</v>
      </c>
      <c r="O21">
        <f t="shared" si="6"/>
        <v>103616.6376</v>
      </c>
    </row>
    <row r="22" spans="1:15" x14ac:dyDescent="0.2">
      <c r="A22">
        <f t="shared" si="0"/>
        <v>14</v>
      </c>
      <c r="B22">
        <f t="shared" si="1"/>
        <v>3281</v>
      </c>
      <c r="C22" s="4">
        <v>41996</v>
      </c>
      <c r="D22" s="1">
        <v>563.13390000000004</v>
      </c>
      <c r="E22" s="1">
        <v>3</v>
      </c>
      <c r="F22" t="b">
        <f t="shared" si="7"/>
        <v>0</v>
      </c>
      <c r="G22" cm="1">
        <f t="array" ref="G22">SUMPRODUCT(B22^{5,4,3,2,1,0}, LINEST(D$9:D$35,B$9:B$35^{1,2,3,4,5}))</f>
        <v>570.39918196403369</v>
      </c>
      <c r="H22" t="b">
        <f t="shared" si="2"/>
        <v>0</v>
      </c>
      <c r="I22">
        <f t="shared" si="3"/>
        <v>0.16543046845021547</v>
      </c>
      <c r="J22">
        <f t="shared" si="4"/>
        <v>3237.0825642815607</v>
      </c>
      <c r="K22" s="3">
        <f t="shared" si="5"/>
        <v>41952.082564281562</v>
      </c>
      <c r="L22">
        <f t="shared" si="8"/>
        <v>102.47081284627302</v>
      </c>
      <c r="M22" s="14">
        <f t="shared" si="9"/>
        <v>-7.2652819640336475</v>
      </c>
      <c r="N22">
        <f t="shared" si="10"/>
        <v>43.917435718439265</v>
      </c>
      <c r="O22">
        <f t="shared" si="6"/>
        <v>60687.251999999993</v>
      </c>
    </row>
    <row r="23" spans="1:15" x14ac:dyDescent="0.2">
      <c r="A23">
        <f t="shared" si="0"/>
        <v>13</v>
      </c>
      <c r="B23">
        <f t="shared" si="1"/>
        <v>3170</v>
      </c>
      <c r="C23" s="4">
        <v>41885</v>
      </c>
      <c r="D23" s="1">
        <v>546.73199999999997</v>
      </c>
      <c r="E23" s="1">
        <v>6.2</v>
      </c>
      <c r="F23" t="b">
        <f t="shared" si="7"/>
        <v>0</v>
      </c>
      <c r="G23" cm="1">
        <f t="array" ref="G23">SUMPRODUCT(B23^{5,4,3,2,1,0}, LINEST(D$9:D$35,B$9:B$35^{1,2,3,4,5}))</f>
        <v>552.37075042948982</v>
      </c>
      <c r="H23" t="b">
        <f t="shared" si="2"/>
        <v>0</v>
      </c>
      <c r="I23">
        <f t="shared" si="3"/>
        <v>0.15933962991072104</v>
      </c>
      <c r="J23">
        <f t="shared" si="4"/>
        <v>3134.6117514352877</v>
      </c>
      <c r="K23" s="3">
        <f t="shared" si="5"/>
        <v>41849.611751435288</v>
      </c>
      <c r="L23">
        <f t="shared" si="8"/>
        <v>211.63104859328132</v>
      </c>
      <c r="M23" s="14">
        <f t="shared" si="9"/>
        <v>-5.6387504294898463</v>
      </c>
      <c r="N23">
        <f t="shared" si="10"/>
        <v>35.388248564712285</v>
      </c>
      <c r="O23">
        <f t="shared" si="6"/>
        <v>93155.650099999999</v>
      </c>
    </row>
    <row r="24" spans="1:15" x14ac:dyDescent="0.2">
      <c r="A24">
        <f t="shared" si="0"/>
        <v>12</v>
      </c>
      <c r="B24">
        <f t="shared" si="1"/>
        <v>2989</v>
      </c>
      <c r="C24" s="4">
        <v>41704</v>
      </c>
      <c r="D24" s="1">
        <v>514.6721</v>
      </c>
      <c r="E24" s="1">
        <v>4</v>
      </c>
      <c r="F24" t="b">
        <f t="shared" si="7"/>
        <v>0</v>
      </c>
      <c r="G24" cm="1">
        <f t="array" ref="G24">SUMPRODUCT(B24^{5,4,3,2,1,0}, LINEST(D$9:D$35,B$9:B$35^{1,2,3,4,5}))</f>
        <v>524.48545902427031</v>
      </c>
      <c r="H24" t="b">
        <f t="shared" si="2"/>
        <v>0</v>
      </c>
      <c r="I24">
        <f t="shared" si="3"/>
        <v>0.14864379729438071</v>
      </c>
      <c r="J24">
        <f t="shared" si="4"/>
        <v>2922.9807028420064</v>
      </c>
      <c r="K24" s="3">
        <f t="shared" si="5"/>
        <v>41637.980702842004</v>
      </c>
      <c r="L24">
        <f t="shared" si="8"/>
        <v>141.68154699702245</v>
      </c>
      <c r="M24" s="14">
        <f t="shared" si="9"/>
        <v>-9.8133590242703121</v>
      </c>
      <c r="N24">
        <f t="shared" si="10"/>
        <v>66.019297157993606</v>
      </c>
      <c r="O24">
        <f t="shared" si="6"/>
        <v>77200.812000000005</v>
      </c>
    </row>
    <row r="25" spans="1:15" x14ac:dyDescent="0.2">
      <c r="A25">
        <f t="shared" si="0"/>
        <v>11</v>
      </c>
      <c r="B25">
        <f t="shared" si="1"/>
        <v>2833</v>
      </c>
      <c r="C25" s="4">
        <v>41548</v>
      </c>
      <c r="D25" s="1">
        <v>494.87700000000001</v>
      </c>
      <c r="E25" s="1">
        <v>3</v>
      </c>
      <c r="F25" t="b">
        <f t="shared" si="7"/>
        <v>0</v>
      </c>
      <c r="G25" cm="1">
        <f t="array" ref="G25">SUMPRODUCT(B25^{5,4,3,2,1,0}, LINEST(D$9:D$35,B$9:B$35^{1,2,3,4,5}))</f>
        <v>502.05552124533375</v>
      </c>
      <c r="H25" t="b">
        <f t="shared" si="2"/>
        <v>0</v>
      </c>
      <c r="I25">
        <f t="shared" si="3"/>
        <v>0.13884727343735759</v>
      </c>
      <c r="J25">
        <f t="shared" si="4"/>
        <v>2781.2991558449839</v>
      </c>
      <c r="K25" s="3">
        <f t="shared" si="5"/>
        <v>41496.299155844987</v>
      </c>
      <c r="L25">
        <f t="shared" si="8"/>
        <v>109.75533427129039</v>
      </c>
      <c r="M25" s="14">
        <f t="shared" si="9"/>
        <v>-7.1785212453337408</v>
      </c>
      <c r="N25">
        <f t="shared" si="10"/>
        <v>51.700844155016057</v>
      </c>
      <c r="O25">
        <f t="shared" si="6"/>
        <v>88885.673500000004</v>
      </c>
    </row>
    <row r="26" spans="1:15" x14ac:dyDescent="0.2">
      <c r="A26">
        <f t="shared" si="0"/>
        <v>10</v>
      </c>
      <c r="B26">
        <f t="shared" si="1"/>
        <v>2648</v>
      </c>
      <c r="C26" s="4">
        <v>41363</v>
      </c>
      <c r="D26" s="1">
        <v>480.4631</v>
      </c>
      <c r="E26" s="1">
        <v>3</v>
      </c>
      <c r="F26" t="b">
        <f t="shared" si="7"/>
        <v>0</v>
      </c>
      <c r="G26" cm="1">
        <f t="array" ref="G26">SUMPRODUCT(B26^{5,4,3,2,1,0}, LINEST(D$9:D$35,B$9:B$35^{1,2,3,4,5}))</f>
        <v>477.47751602796643</v>
      </c>
      <c r="H26" t="b">
        <f t="shared" si="2"/>
        <v>0</v>
      </c>
      <c r="I26">
        <f t="shared" si="3"/>
        <v>0.12680965843580339</v>
      </c>
      <c r="J26">
        <f t="shared" si="4"/>
        <v>2671.5438215736935</v>
      </c>
      <c r="K26" s="3">
        <f t="shared" si="5"/>
        <v>41386.543821573694</v>
      </c>
      <c r="L26">
        <f t="shared" si="8"/>
        <v>111.38706642259058</v>
      </c>
      <c r="M26" s="14">
        <f t="shared" si="9"/>
        <v>2.9855839720335666</v>
      </c>
      <c r="N26">
        <f t="shared" si="10"/>
        <v>-23.543821573693549</v>
      </c>
      <c r="O26">
        <f t="shared" si="6"/>
        <v>69503.895900000003</v>
      </c>
    </row>
    <row r="27" spans="1:15" x14ac:dyDescent="0.2">
      <c r="A27">
        <f t="shared" si="0"/>
        <v>9</v>
      </c>
      <c r="B27">
        <f t="shared" si="1"/>
        <v>2499</v>
      </c>
      <c r="C27" s="4">
        <v>41214</v>
      </c>
      <c r="D27" s="1">
        <v>466.46910000000003</v>
      </c>
      <c r="E27" s="1">
        <v>6</v>
      </c>
      <c r="F27" t="b">
        <f t="shared" si="7"/>
        <v>0</v>
      </c>
      <c r="G27" cm="1">
        <f t="array" ref="G27">SUMPRODUCT(B27^{5,4,3,2,1,0}, LINEST(D$9:D$35,B$9:B$35^{1,2,3,4,5}))</f>
        <v>459.31369333094085</v>
      </c>
      <c r="H27" t="b">
        <f t="shared" si="2"/>
        <v>0</v>
      </c>
      <c r="I27">
        <f t="shared" si="3"/>
        <v>0.11700108436721246</v>
      </c>
      <c r="J27">
        <f t="shared" si="4"/>
        <v>2560.156755151103</v>
      </c>
      <c r="K27" s="3">
        <f t="shared" si="5"/>
        <v>41275.156755151103</v>
      </c>
      <c r="L27">
        <f t="shared" si="8"/>
        <v>225.16525006485699</v>
      </c>
      <c r="M27" s="14">
        <f t="shared" si="9"/>
        <v>7.1554066690591753</v>
      </c>
      <c r="N27">
        <f t="shared" si="10"/>
        <v>-61.156755151102971</v>
      </c>
      <c r="O27">
        <f t="shared" si="6"/>
        <v>148742.00379999998</v>
      </c>
    </row>
    <row r="28" spans="1:15" x14ac:dyDescent="0.2">
      <c r="A28">
        <f t="shared" si="0"/>
        <v>8</v>
      </c>
      <c r="B28">
        <f t="shared" si="1"/>
        <v>2161</v>
      </c>
      <c r="C28" s="4">
        <v>40876</v>
      </c>
      <c r="D28" s="1">
        <v>440.06509999999997</v>
      </c>
      <c r="E28" s="1">
        <v>6</v>
      </c>
      <c r="F28" t="b">
        <f t="shared" si="7"/>
        <v>0</v>
      </c>
      <c r="G28" cm="1">
        <f t="array" ref="G28">SUMPRODUCT(B28^{5,4,3,2,1,0}, LINEST(D$9:D$35,B$9:B$35^{1,2,3,4,5}))</f>
        <v>423.4577695205524</v>
      </c>
      <c r="H28" t="b">
        <f t="shared" si="2"/>
        <v>0</v>
      </c>
      <c r="I28">
        <f t="shared" si="3"/>
        <v>9.5449087995505721E-2</v>
      </c>
      <c r="J28">
        <f t="shared" si="4"/>
        <v>2334.991505086246</v>
      </c>
      <c r="K28" s="3">
        <f t="shared" si="5"/>
        <v>41049.991505086247</v>
      </c>
      <c r="L28">
        <f t="shared" si="8"/>
        <v>240.12538615912672</v>
      </c>
      <c r="M28" s="14">
        <f t="shared" si="9"/>
        <v>16.607330479447569</v>
      </c>
      <c r="N28">
        <f t="shared" si="10"/>
        <v>-173.99150508624598</v>
      </c>
      <c r="O28">
        <f t="shared" si="6"/>
        <v>146549.9621</v>
      </c>
    </row>
    <row r="29" spans="1:15" x14ac:dyDescent="0.2">
      <c r="A29">
        <f t="shared" si="0"/>
        <v>7</v>
      </c>
      <c r="B29">
        <f t="shared" si="1"/>
        <v>1808</v>
      </c>
      <c r="C29" s="4">
        <v>40523</v>
      </c>
      <c r="D29" s="1">
        <v>415.15570000000002</v>
      </c>
      <c r="E29" s="1">
        <v>7</v>
      </c>
      <c r="F29" t="b">
        <f t="shared" si="7"/>
        <v>0</v>
      </c>
      <c r="G29" cm="1">
        <f t="array" ref="G29">SUMPRODUCT(B29^{5,4,3,2,1,0}, LINEST(D$9:D$35,B$9:B$35^{1,2,3,4,5}))</f>
        <v>393.30821549802448</v>
      </c>
      <c r="H29" t="b">
        <f t="shared" si="2"/>
        <v>0</v>
      </c>
      <c r="I29">
        <f t="shared" si="3"/>
        <v>7.615916645606402E-2</v>
      </c>
      <c r="J29">
        <f t="shared" si="4"/>
        <v>2094.8661189271193</v>
      </c>
      <c r="K29" s="3">
        <f t="shared" si="5"/>
        <v>40809.866118927122</v>
      </c>
      <c r="L29">
        <f t="shared" si="8"/>
        <v>339.93544240127244</v>
      </c>
      <c r="M29" s="14">
        <f t="shared" si="9"/>
        <v>21.847484501975543</v>
      </c>
      <c r="N29">
        <f t="shared" si="10"/>
        <v>-286.86611892711926</v>
      </c>
      <c r="O29">
        <f t="shared" si="6"/>
        <v>131920.10199999998</v>
      </c>
    </row>
    <row r="30" spans="1:15" x14ac:dyDescent="0.2">
      <c r="A30">
        <f t="shared" si="0"/>
        <v>6</v>
      </c>
      <c r="B30">
        <f t="shared" si="1"/>
        <v>1468</v>
      </c>
      <c r="C30" s="4">
        <v>40183</v>
      </c>
      <c r="D30" s="1">
        <v>388.00029999999998</v>
      </c>
      <c r="E30" s="1">
        <v>8.9</v>
      </c>
      <c r="F30" t="b">
        <f t="shared" si="7"/>
        <v>0</v>
      </c>
      <c r="G30" cm="1">
        <f t="array" ref="G30">SUMPRODUCT(B30^{5,4,3,2,1,0}, LINEST(D$9:D$35,B$9:B$35^{1,2,3,4,5}))</f>
        <v>369.76752085030716</v>
      </c>
      <c r="H30" t="b">
        <f t="shared" si="2"/>
        <v>0</v>
      </c>
      <c r="I30">
        <f t="shared" si="3"/>
        <v>6.354419600739486E-2</v>
      </c>
      <c r="J30">
        <f t="shared" si="4"/>
        <v>1754.9306765258468</v>
      </c>
      <c r="K30" s="3">
        <f t="shared" si="5"/>
        <v>40469.930676525844</v>
      </c>
      <c r="L30">
        <f t="shared" si="8"/>
        <v>506.39152453466318</v>
      </c>
      <c r="M30" s="14">
        <f t="shared" si="9"/>
        <v>18.232779149692817</v>
      </c>
      <c r="N30">
        <f t="shared" si="10"/>
        <v>-286.93067652584682</v>
      </c>
      <c r="O30">
        <f t="shared" si="6"/>
        <v>86934.857599999988</v>
      </c>
    </row>
    <row r="31" spans="1:15" x14ac:dyDescent="0.2">
      <c r="A31">
        <f t="shared" si="0"/>
        <v>5</v>
      </c>
      <c r="B31">
        <f t="shared" si="1"/>
        <v>1224</v>
      </c>
      <c r="C31" s="4">
        <v>39939</v>
      </c>
      <c r="D31" s="1">
        <v>356.29039999999998</v>
      </c>
      <c r="E31" s="1">
        <v>9.9</v>
      </c>
      <c r="F31" t="b">
        <f t="shared" si="7"/>
        <v>0</v>
      </c>
      <c r="G31" cm="1">
        <f t="array" ref="G31">SUMPRODUCT(B31^{5,4,3,2,1,0}, LINEST(D$9:D$35,B$9:B$35^{1,2,3,4,5}))</f>
        <v>354.82231749777952</v>
      </c>
      <c r="H31" t="b">
        <f t="shared" si="2"/>
        <v>0</v>
      </c>
      <c r="I31">
        <f t="shared" si="3"/>
        <v>5.9826130208081391E-2</v>
      </c>
      <c r="J31">
        <f t="shared" si="4"/>
        <v>1248.5391519911836</v>
      </c>
      <c r="K31" s="3">
        <f t="shared" si="5"/>
        <v>39963.539151991186</v>
      </c>
      <c r="L31">
        <f t="shared" si="8"/>
        <v>534.92713107830218</v>
      </c>
      <c r="M31" s="14">
        <f t="shared" si="9"/>
        <v>1.4680825022204544</v>
      </c>
      <c r="N31">
        <f t="shared" si="10"/>
        <v>-24.539151991183644</v>
      </c>
      <c r="O31">
        <f t="shared" si="6"/>
        <v>49259.719199999992</v>
      </c>
    </row>
    <row r="32" spans="1:15" x14ac:dyDescent="0.2">
      <c r="A32">
        <f t="shared" si="0"/>
        <v>4</v>
      </c>
      <c r="B32">
        <f t="shared" si="1"/>
        <v>1072</v>
      </c>
      <c r="C32" s="4">
        <v>39787</v>
      </c>
      <c r="D32" s="1">
        <v>324.07709999999997</v>
      </c>
      <c r="E32" s="1">
        <v>4</v>
      </c>
      <c r="F32" t="b">
        <f t="shared" si="7"/>
        <v>0</v>
      </c>
      <c r="G32" cm="1">
        <f t="array" ref="G32">SUMPRODUCT(B32^{5,4,3,2,1,0}, LINEST(D$9:D$35,B$9:B$35^{1,2,3,4,5}))</f>
        <v>345.71717591451693</v>
      </c>
      <c r="H32" t="b">
        <f t="shared" si="2"/>
        <v>0</v>
      </c>
      <c r="I32">
        <f t="shared" si="3"/>
        <v>6.0381701332835686E-2</v>
      </c>
      <c r="J32">
        <f t="shared" si="4"/>
        <v>713.61202091288146</v>
      </c>
      <c r="K32" s="3">
        <f t="shared" si="5"/>
        <v>39428.612020912879</v>
      </c>
      <c r="L32">
        <f t="shared" si="8"/>
        <v>151.65185839439096</v>
      </c>
      <c r="M32" s="14">
        <f t="shared" si="9"/>
        <v>-21.640075914516956</v>
      </c>
      <c r="N32">
        <f t="shared" si="10"/>
        <v>358.38797908711854</v>
      </c>
      <c r="O32">
        <f t="shared" si="6"/>
        <v>104701.86720000001</v>
      </c>
    </row>
    <row r="33" spans="1:15" x14ac:dyDescent="0.2">
      <c r="A33">
        <f t="shared" si="0"/>
        <v>3</v>
      </c>
      <c r="B33">
        <f t="shared" si="1"/>
        <v>736</v>
      </c>
      <c r="C33" s="4">
        <v>39451</v>
      </c>
      <c r="D33" s="1">
        <v>311.61270000000002</v>
      </c>
      <c r="E33" s="1">
        <v>9.9</v>
      </c>
      <c r="F33" t="b">
        <f t="shared" si="7"/>
        <v>0</v>
      </c>
      <c r="G33" cm="1">
        <f t="array" ref="G33">SUMPRODUCT(B33^{5,4,3,2,1,0}, LINEST(D$9:D$35,B$9:B$35^{1,2,3,4,5}))</f>
        <v>324.0090545294205</v>
      </c>
      <c r="H33" t="b">
        <f t="shared" si="2"/>
        <v>0</v>
      </c>
      <c r="I33">
        <f t="shared" si="3"/>
        <v>7.122710931477115E-2</v>
      </c>
      <c r="J33">
        <f t="shared" si="4"/>
        <v>561.96016251849051</v>
      </c>
      <c r="K33" s="3">
        <f t="shared" si="5"/>
        <v>39276.960162518488</v>
      </c>
      <c r="L33">
        <f t="shared" si="8"/>
        <v>285.43079035799411</v>
      </c>
      <c r="M33" s="14">
        <f t="shared" si="9"/>
        <v>-12.396354529420478</v>
      </c>
      <c r="N33">
        <f t="shared" si="10"/>
        <v>174.03983748150949</v>
      </c>
      <c r="O33">
        <f t="shared" si="6"/>
        <v>103776.37199999999</v>
      </c>
    </row>
    <row r="34" spans="1:15" x14ac:dyDescent="0.2">
      <c r="A34">
        <f>A35+1</f>
        <v>2</v>
      </c>
      <c r="B34">
        <f>C34-C$35</f>
        <v>370</v>
      </c>
      <c r="C34" s="4">
        <v>39085</v>
      </c>
      <c r="D34" s="1">
        <v>283.54199999999997</v>
      </c>
      <c r="E34" s="1">
        <v>9.9</v>
      </c>
      <c r="F34" t="b">
        <f t="shared" si="7"/>
        <v>0</v>
      </c>
      <c r="G34" cm="1">
        <f t="array" ref="G34">SUMPRODUCT(B34^{5,4,3,2,1,0}, LINEST(D$9:D$35,B$9:B$35^{1,2,3,4,5}))</f>
        <v>293.04004993943795</v>
      </c>
      <c r="H34" t="b">
        <f t="shared" si="2"/>
        <v>0</v>
      </c>
      <c r="I34">
        <f t="shared" si="3"/>
        <v>0.10161534333274055</v>
      </c>
      <c r="J34">
        <f t="shared" si="4"/>
        <v>276.52937216049639</v>
      </c>
      <c r="K34" s="3">
        <f t="shared" si="5"/>
        <v>38991.529372160498</v>
      </c>
      <c r="L34">
        <f t="shared" si="8"/>
        <v>200.27904347295492</v>
      </c>
      <c r="M34" s="14">
        <f t="shared" si="9"/>
        <v>-9.4980499394379763</v>
      </c>
      <c r="N34">
        <f t="shared" si="10"/>
        <v>93.470627839503607</v>
      </c>
      <c r="O34">
        <f>(B34-B35)*(D35)</f>
        <v>95202</v>
      </c>
    </row>
    <row r="35" spans="1:15" x14ac:dyDescent="0.2">
      <c r="A35">
        <v>1</v>
      </c>
      <c r="B35">
        <v>1</v>
      </c>
      <c r="C35" s="4">
        <v>38715</v>
      </c>
      <c r="D35" s="1">
        <v>258</v>
      </c>
      <c r="E35" s="1">
        <v>0</v>
      </c>
      <c r="F35" t="b">
        <f t="shared" si="7"/>
        <v>0</v>
      </c>
      <c r="G35" cm="1">
        <f t="array" ref="G35">SUMPRODUCT(B35^{5,4,3,2,1,0}, LINEST(D$9:D$35,B$9:B$35^{1,2,3,4,5}))</f>
        <v>246.19853430455802</v>
      </c>
      <c r="H35" t="b">
        <f t="shared" si="2"/>
        <v>0</v>
      </c>
      <c r="I35">
        <f t="shared" si="3"/>
        <v>0.15682942388789645</v>
      </c>
      <c r="J35">
        <f t="shared" si="4"/>
        <v>76.250328687541469</v>
      </c>
      <c r="K35" s="3">
        <f t="shared" si="5"/>
        <v>38791.250328687544</v>
      </c>
      <c r="L35">
        <v>0</v>
      </c>
      <c r="M35" s="14">
        <f t="shared" si="9"/>
        <v>11.801465695441976</v>
      </c>
      <c r="N35">
        <f t="shared" si="10"/>
        <v>-75.250328687541469</v>
      </c>
    </row>
    <row r="36" spans="1:15" x14ac:dyDescent="0.2">
      <c r="O36">
        <f>SUM(O9:O34)</f>
        <v>4184554.8564000004</v>
      </c>
    </row>
    <row r="37" spans="1:15" x14ac:dyDescent="0.2">
      <c r="B37" t="s">
        <v>9</v>
      </c>
      <c r="C37" t="s">
        <v>10</v>
      </c>
    </row>
    <row r="38" spans="1:15" x14ac:dyDescent="0.2">
      <c r="B38">
        <f>C38-C$35</f>
        <v>6954</v>
      </c>
      <c r="C38" s="3">
        <v>45669</v>
      </c>
      <c r="D38" cm="1">
        <f t="array" ref="D38">SUMPRODUCT(B38^{5,4,3,2,1,0}, LINEST(D$9:D$35,B$9:B$35^{1,2,3,4,5}))</f>
        <v>1057.886268559266</v>
      </c>
      <c r="G38" t="s">
        <v>13</v>
      </c>
      <c r="H38" t="s">
        <v>14</v>
      </c>
      <c r="I38" t="s">
        <v>15</v>
      </c>
      <c r="J38" t="s">
        <v>16</v>
      </c>
      <c r="K38" t="s">
        <v>18</v>
      </c>
      <c r="L38" t="s">
        <v>17</v>
      </c>
    </row>
    <row r="39" spans="1:15" x14ac:dyDescent="0.2">
      <c r="B39">
        <f t="shared" ref="B39:B60" si="11">C39-C$35</f>
        <v>6984</v>
      </c>
      <c r="C39" s="3">
        <f>C38+30</f>
        <v>45699</v>
      </c>
      <c r="D39" cm="1">
        <f t="array" ref="D39">SUMPRODUCT(B39^{5,4,3,2,1,0}, LINEST(D$9:D$35,B$9:B$35^{1,2,3,4,5}))</f>
        <v>1056.3623222026401</v>
      </c>
      <c r="F39" t="s">
        <v>20</v>
      </c>
      <c r="G39" cm="1">
        <f t="array" ref="G39:L43">LINEST(D9:D35, B9:B35^{1,2,3,4,5}, TRUE, TRUE)</f>
        <v>1.8600188124620415E-16</v>
      </c>
      <c r="H39">
        <v>-4.7839046493674868E-12</v>
      </c>
      <c r="I39">
        <v>3.6971669529927223E-8</v>
      </c>
      <c r="J39">
        <v>-9.4100796368554702E-5</v>
      </c>
      <c r="K39">
        <v>0.15701751458475965</v>
      </c>
      <c r="L39">
        <v>246.04161085380275</v>
      </c>
    </row>
    <row r="40" spans="1:15" x14ac:dyDescent="0.2">
      <c r="B40">
        <f t="shared" si="11"/>
        <v>7014</v>
      </c>
      <c r="C40" s="3">
        <f t="shared" ref="C40:C47" si="12">C39+30</f>
        <v>45729</v>
      </c>
      <c r="D40" cm="1">
        <f t="array" ref="D40">SUMPRODUCT(B40^{5,4,3,2,1,0}, LINEST(D$9:D$35,B$9:B$35^{1,2,3,4,5}))</f>
        <v>1054.683768620441</v>
      </c>
      <c r="G40">
        <v>1.792481764038857E-16</v>
      </c>
      <c r="H40">
        <v>3.0142685841475814E-12</v>
      </c>
      <c r="I40">
        <v>1.8083972952461579E-8</v>
      </c>
      <c r="J40">
        <v>4.6421498403122201E-5</v>
      </c>
      <c r="K40">
        <v>4.7642479254380157E-2</v>
      </c>
      <c r="L40">
        <v>15.479116422017212</v>
      </c>
    </row>
    <row r="41" spans="1:15" x14ac:dyDescent="0.2">
      <c r="B41">
        <f t="shared" si="11"/>
        <v>7044</v>
      </c>
      <c r="C41" s="3">
        <f t="shared" si="12"/>
        <v>45759</v>
      </c>
      <c r="D41" cm="1">
        <f t="array" ref="D41">SUMPRODUCT(B41^{5,4,3,2,1,0}, LINEST(D$9:D$35,B$9:B$35^{1,2,3,4,5}))</f>
        <v>1052.8496612105173</v>
      </c>
      <c r="F41" t="s">
        <v>19</v>
      </c>
      <c r="G41">
        <v>0.9957702312304304</v>
      </c>
      <c r="H41">
        <v>16.804413749601125</v>
      </c>
      <c r="I41" t="e">
        <v>#N/A</v>
      </c>
      <c r="J41" t="e">
        <v>#N/A</v>
      </c>
      <c r="K41" t="e">
        <v>#N/A</v>
      </c>
      <c r="L41" t="e">
        <v>#N/A</v>
      </c>
    </row>
    <row r="42" spans="1:15" x14ac:dyDescent="0.2">
      <c r="B42">
        <f t="shared" si="11"/>
        <v>7074</v>
      </c>
      <c r="C42" s="3">
        <f t="shared" si="12"/>
        <v>45789</v>
      </c>
      <c r="D42" cm="1">
        <f t="array" ref="D42">SUMPRODUCT(B42^{5,4,3,2,1,0}, LINEST(D$9:D$35,B$9:B$35^{1,2,3,4,5}))</f>
        <v>1050.8590871804163</v>
      </c>
      <c r="G42">
        <v>988.76208109914523</v>
      </c>
      <c r="H42">
        <v>21</v>
      </c>
      <c r="I42" t="e">
        <v>#N/A</v>
      </c>
      <c r="J42" t="e">
        <v>#N/A</v>
      </c>
      <c r="K42" t="e">
        <v>#N/A</v>
      </c>
      <c r="L42" t="e">
        <v>#N/A</v>
      </c>
    </row>
    <row r="43" spans="1:15" x14ac:dyDescent="0.2">
      <c r="B43">
        <f t="shared" si="11"/>
        <v>7104</v>
      </c>
      <c r="C43" s="3">
        <f t="shared" si="12"/>
        <v>45819</v>
      </c>
      <c r="D43" cm="1">
        <f t="array" ref="D43">SUMPRODUCT(B43^{5,4,3,2,1,0}, LINEST(D$9:D$35,B$9:B$35^{1,2,3,4,5}))</f>
        <v>1048.7111680897387</v>
      </c>
      <c r="G43">
        <v>1396074.3220628996</v>
      </c>
      <c r="H43">
        <v>5930.1547508234507</v>
      </c>
      <c r="I43" t="e">
        <v>#N/A</v>
      </c>
      <c r="J43" t="e">
        <v>#N/A</v>
      </c>
      <c r="K43" t="e">
        <v>#N/A</v>
      </c>
      <c r="L43" t="e">
        <v>#N/A</v>
      </c>
    </row>
    <row r="44" spans="1:15" x14ac:dyDescent="0.2">
      <c r="B44">
        <f t="shared" si="11"/>
        <v>7134</v>
      </c>
      <c r="C44" s="3">
        <f t="shared" si="12"/>
        <v>45849</v>
      </c>
      <c r="D44" cm="1">
        <f t="array" ref="D44">SUMPRODUCT(B44^{5,4,3,2,1,0}, LINEST(D$9:D$35,B$9:B$35^{1,2,3,4,5}))</f>
        <v>1046.4050603925359</v>
      </c>
    </row>
    <row r="45" spans="1:15" ht="17" thickBot="1" x14ac:dyDescent="0.25">
      <c r="B45">
        <f t="shared" si="11"/>
        <v>7164</v>
      </c>
      <c r="C45" s="3">
        <f t="shared" si="12"/>
        <v>45879</v>
      </c>
      <c r="D45" cm="1">
        <f t="array" ref="D45">SUMPRODUCT(B45^{5,4,3,2,1,0}, LINEST(D$9:D$35,B$9:B$35^{1,2,3,4,5}))</f>
        <v>1043.9399559796946</v>
      </c>
    </row>
    <row r="46" spans="1:15" x14ac:dyDescent="0.2">
      <c r="B46">
        <f t="shared" si="11"/>
        <v>7194</v>
      </c>
      <c r="C46" s="3">
        <f t="shared" si="12"/>
        <v>45909</v>
      </c>
      <c r="D46" cm="1">
        <f t="array" ref="D46">SUMPRODUCT(B46^{5,4,3,2,1,0}, LINEST(D$9:D$35,B$9:B$35^{1,2,3,4,5}))</f>
        <v>1041.3150827213092</v>
      </c>
      <c r="F46" s="5" t="s">
        <v>23</v>
      </c>
      <c r="G46" s="6"/>
      <c r="H46" s="6"/>
      <c r="I46" s="7"/>
    </row>
    <row r="47" spans="1:15" x14ac:dyDescent="0.2">
      <c r="B47">
        <f t="shared" si="11"/>
        <v>7224</v>
      </c>
      <c r="C47" s="3">
        <f t="shared" si="12"/>
        <v>45939</v>
      </c>
      <c r="D47" cm="1">
        <f t="array" ref="D47">SUMPRODUCT(B47^{5,4,3,2,1,0}, LINEST(D$9:D$35,B$9:B$35^{1,2,3,4,5}))</f>
        <v>1038.529705009061</v>
      </c>
      <c r="F47" s="8" t="s">
        <v>24</v>
      </c>
      <c r="G47" t="s">
        <v>25</v>
      </c>
      <c r="H47" t="s">
        <v>28</v>
      </c>
      <c r="I47" s="9" t="s">
        <v>26</v>
      </c>
    </row>
    <row r="48" spans="1:15" ht="17" thickBot="1" x14ac:dyDescent="0.25">
      <c r="B48">
        <f t="shared" si="11"/>
        <v>7254</v>
      </c>
      <c r="C48" s="3">
        <f t="shared" ref="C48:C60" si="13">C47+30</f>
        <v>45969</v>
      </c>
      <c r="D48" cm="1">
        <f t="array" ref="D48">SUMPRODUCT(B48^{5,4,3,2,1,0}, LINEST(D$9:D$35,B$9:B$35^{1,2,3,4,5}))</f>
        <v>1035.5831242986183</v>
      </c>
      <c r="F48" s="10">
        <v>6660</v>
      </c>
      <c r="G48" s="11">
        <f>(5*G$39*(F48^4))+(4*H$39*(F48^3))+(3*I$39*(F48^2))+(2*J$39*(F48^1))+(1*K$39*(F48^0))</f>
        <v>1.9458894081747502E-4</v>
      </c>
      <c r="H48" s="12">
        <f>C35+F48</f>
        <v>45375</v>
      </c>
      <c r="I48" s="13" cm="1">
        <f t="array" ref="I48">SUMPRODUCT(F48^{5,4,3,2,1,0}, LINEST(D$9:D$35,B$9:B$35^{1,2,3,4,5}))</f>
        <v>1064.8576886646592</v>
      </c>
    </row>
    <row r="49" spans="2:4" x14ac:dyDescent="0.2">
      <c r="B49">
        <f t="shared" si="11"/>
        <v>7284</v>
      </c>
      <c r="C49" s="3">
        <f t="shared" si="13"/>
        <v>45999</v>
      </c>
      <c r="D49" cm="1">
        <f t="array" ref="D49">SUMPRODUCT(B49^{5,4,3,2,1,0}, LINEST(D$9:D$35,B$9:B$35^{1,2,3,4,5}))</f>
        <v>1032.4746796519898</v>
      </c>
    </row>
    <row r="50" spans="2:4" x14ac:dyDescent="0.2">
      <c r="B50">
        <f t="shared" si="11"/>
        <v>7314</v>
      </c>
      <c r="C50" s="3">
        <f t="shared" si="13"/>
        <v>46029</v>
      </c>
      <c r="D50" cm="1">
        <f t="array" ref="D50">SUMPRODUCT(B50^{5,4,3,2,1,0}, LINEST(D$9:D$35,B$9:B$35^{1,2,3,4,5}))</f>
        <v>1029.2037482799292</v>
      </c>
    </row>
    <row r="51" spans="2:4" x14ac:dyDescent="0.2">
      <c r="B51">
        <f t="shared" si="11"/>
        <v>7344</v>
      </c>
      <c r="C51" s="3">
        <f t="shared" si="13"/>
        <v>46059</v>
      </c>
      <c r="D51" cm="1">
        <f t="array" ref="D51">SUMPRODUCT(B51^{5,4,3,2,1,0}, LINEST(D$9:D$35,B$9:B$35^{1,2,3,4,5}))</f>
        <v>1025.7697460843085</v>
      </c>
    </row>
    <row r="52" spans="2:4" x14ac:dyDescent="0.2">
      <c r="B52">
        <f t="shared" si="11"/>
        <v>7374</v>
      </c>
      <c r="C52" s="3">
        <f t="shared" si="13"/>
        <v>46089</v>
      </c>
      <c r="D52" cm="1">
        <f t="array" ref="D52">SUMPRODUCT(B52^{5,4,3,2,1,0}, LINEST(D$9:D$35,B$9:B$35^{1,2,3,4,5}))</f>
        <v>1022.1721282005003</v>
      </c>
    </row>
    <row r="53" spans="2:4" x14ac:dyDescent="0.2">
      <c r="B53">
        <f t="shared" si="11"/>
        <v>7404</v>
      </c>
      <c r="C53" s="3">
        <f t="shared" si="13"/>
        <v>46119</v>
      </c>
      <c r="D53" cm="1">
        <f t="array" ref="D53">SUMPRODUCT(B53^{5,4,3,2,1,0}, LINEST(D$9:D$35,B$9:B$35^{1,2,3,4,5}))</f>
        <v>1018.4103895397504</v>
      </c>
    </row>
    <row r="54" spans="2:4" x14ac:dyDescent="0.2">
      <c r="B54">
        <f t="shared" si="11"/>
        <v>7434</v>
      </c>
      <c r="C54" s="3">
        <f t="shared" si="13"/>
        <v>46149</v>
      </c>
      <c r="D54" cm="1">
        <f t="array" ref="D54">SUMPRODUCT(B54^{5,4,3,2,1,0}, LINEST(D$9:D$35,B$9:B$35^{1,2,3,4,5}))</f>
        <v>1014.4840653315814</v>
      </c>
    </row>
    <row r="55" spans="2:4" x14ac:dyDescent="0.2">
      <c r="B55">
        <f t="shared" si="11"/>
        <v>7464</v>
      </c>
      <c r="C55" s="3">
        <f t="shared" si="13"/>
        <v>46179</v>
      </c>
      <c r="D55" cm="1">
        <f t="array" ref="D55">SUMPRODUCT(B55^{5,4,3,2,1,0}, LINEST(D$9:D$35,B$9:B$35^{1,2,3,4,5}))</f>
        <v>1010.3927316661475</v>
      </c>
    </row>
    <row r="56" spans="2:4" x14ac:dyDescent="0.2">
      <c r="B56">
        <f t="shared" si="11"/>
        <v>7494</v>
      </c>
      <c r="C56" s="3">
        <f t="shared" si="13"/>
        <v>46209</v>
      </c>
      <c r="D56" cm="1">
        <f t="array" ref="D56">SUMPRODUCT(B56^{5,4,3,2,1,0}, LINEST(D$9:D$35,B$9:B$35^{1,2,3,4,5}))</f>
        <v>1006.1360060366351</v>
      </c>
    </row>
    <row r="57" spans="2:4" x14ac:dyDescent="0.2">
      <c r="B57">
        <f t="shared" si="11"/>
        <v>7524</v>
      </c>
      <c r="C57" s="3">
        <f t="shared" si="13"/>
        <v>46239</v>
      </c>
      <c r="D57" cm="1">
        <f t="array" ref="D57">SUMPRODUCT(B57^{5,4,3,2,1,0}, LINEST(D$9:D$35,B$9:B$35^{1,2,3,4,5}))</f>
        <v>1001.7135478816353</v>
      </c>
    </row>
    <row r="58" spans="2:4" x14ac:dyDescent="0.2">
      <c r="B58">
        <f t="shared" si="11"/>
        <v>7554</v>
      </c>
      <c r="C58" s="3">
        <f t="shared" si="13"/>
        <v>46269</v>
      </c>
      <c r="D58" cm="1">
        <f t="array" ref="D58">SUMPRODUCT(B58^{5,4,3,2,1,0}, LINEST(D$9:D$35,B$9:B$35^{1,2,3,4,5}))</f>
        <v>997.12505912752817</v>
      </c>
    </row>
    <row r="59" spans="2:4" x14ac:dyDescent="0.2">
      <c r="B59">
        <f t="shared" si="11"/>
        <v>7584</v>
      </c>
      <c r="C59" s="3">
        <f t="shared" si="13"/>
        <v>46299</v>
      </c>
      <c r="D59" cm="1">
        <f t="array" ref="D59">SUMPRODUCT(B59^{5,4,3,2,1,0}, LINEST(D$9:D$35,B$9:B$35^{1,2,3,4,5}))</f>
        <v>992.37028473086843</v>
      </c>
    </row>
    <row r="60" spans="2:4" x14ac:dyDescent="0.2">
      <c r="B60">
        <f t="shared" si="11"/>
        <v>7614</v>
      </c>
      <c r="C60" s="3">
        <f t="shared" si="13"/>
        <v>46329</v>
      </c>
      <c r="D60" cm="1">
        <f t="array" ref="D60">SUMPRODUCT(B60^{5,4,3,2,1,0}, LINEST(D$9:D$35,B$9:B$35^{1,2,3,4,5}))</f>
        <v>987.44901322075634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38BD-D04A-1245-8FA3-A5E465F8D8DE}">
  <dimension ref="A1:I389"/>
  <sheetViews>
    <sheetView topLeftCell="A4" workbookViewId="0">
      <selection activeCell="C2" sqref="C2:C389"/>
    </sheetView>
  </sheetViews>
  <sheetFormatPr baseColWidth="10" defaultRowHeight="16" x14ac:dyDescent="0.2"/>
  <cols>
    <col min="1" max="1" width="22.5" bestFit="1" customWidth="1"/>
    <col min="2" max="2" width="20" bestFit="1" customWidth="1"/>
    <col min="4" max="4" width="10.83203125" style="3"/>
  </cols>
  <sheetData>
    <row r="1" spans="1:9" ht="20" x14ac:dyDescent="0.2">
      <c r="A1" s="15" t="s">
        <v>28</v>
      </c>
      <c r="B1" s="15" t="s">
        <v>421</v>
      </c>
      <c r="I1" t="s">
        <v>420</v>
      </c>
    </row>
    <row r="2" spans="1:9" ht="20" x14ac:dyDescent="0.2">
      <c r="A2" s="16" t="s">
        <v>32</v>
      </c>
      <c r="B2" s="17">
        <v>108.03</v>
      </c>
      <c r="C2">
        <f>100*(B2-B3)/B3</f>
        <v>8.7915407854984942</v>
      </c>
      <c r="D2" s="3">
        <v>43739</v>
      </c>
    </row>
    <row r="3" spans="1:9" ht="20" x14ac:dyDescent="0.2">
      <c r="A3" s="16" t="s">
        <v>33</v>
      </c>
      <c r="B3" s="17">
        <v>99.3</v>
      </c>
      <c r="C3">
        <f t="shared" ref="C3:C66" si="0">100*(B3-B4)/B4</f>
        <v>2.5826446280991737</v>
      </c>
      <c r="D3" s="3">
        <f>EDATE(D2,-1)</f>
        <v>43709</v>
      </c>
    </row>
    <row r="4" spans="1:9" ht="20" x14ac:dyDescent="0.2">
      <c r="A4" s="16" t="s">
        <v>34</v>
      </c>
      <c r="B4" s="17">
        <v>96.8</v>
      </c>
      <c r="C4">
        <f t="shared" si="0"/>
        <v>5.3777487480949242</v>
      </c>
      <c r="D4" s="3">
        <f t="shared" ref="D4:D67" si="1">EDATE(D3,-1)</f>
        <v>43678</v>
      </c>
    </row>
    <row r="5" spans="1:9" ht="20" x14ac:dyDescent="0.2">
      <c r="A5" s="16" t="s">
        <v>35</v>
      </c>
      <c r="B5" s="17">
        <v>91.86</v>
      </c>
      <c r="C5">
        <f t="shared" si="0"/>
        <v>-0.6274340112505391</v>
      </c>
      <c r="D5" s="3">
        <f t="shared" si="1"/>
        <v>43647</v>
      </c>
    </row>
    <row r="6" spans="1:9" ht="20" x14ac:dyDescent="0.2">
      <c r="A6" s="16" t="s">
        <v>36</v>
      </c>
      <c r="B6" s="17">
        <v>92.44</v>
      </c>
      <c r="C6">
        <f t="shared" si="0"/>
        <v>-1.4393858620322086</v>
      </c>
      <c r="D6" s="3">
        <f t="shared" si="1"/>
        <v>43617</v>
      </c>
    </row>
    <row r="7" spans="1:9" ht="20" x14ac:dyDescent="0.2">
      <c r="A7" s="16" t="s">
        <v>37</v>
      </c>
      <c r="B7" s="17">
        <v>93.79</v>
      </c>
      <c r="C7">
        <f t="shared" si="0"/>
        <v>-0.91907880836677625</v>
      </c>
      <c r="D7" s="3">
        <f t="shared" si="1"/>
        <v>43586</v>
      </c>
    </row>
    <row r="8" spans="1:9" ht="20" x14ac:dyDescent="0.2">
      <c r="A8" s="16" t="s">
        <v>38</v>
      </c>
      <c r="B8" s="17">
        <v>94.66</v>
      </c>
      <c r="C8">
        <f t="shared" si="0"/>
        <v>0.33919864320541993</v>
      </c>
      <c r="D8" s="3">
        <f t="shared" si="1"/>
        <v>43556</v>
      </c>
    </row>
    <row r="9" spans="1:9" ht="20" x14ac:dyDescent="0.2">
      <c r="A9" s="16" t="s">
        <v>39</v>
      </c>
      <c r="B9" s="17">
        <v>94.34</v>
      </c>
      <c r="C9">
        <f t="shared" si="0"/>
        <v>13.498556304138594</v>
      </c>
      <c r="D9" s="3">
        <f t="shared" si="1"/>
        <v>43525</v>
      </c>
    </row>
    <row r="10" spans="1:9" ht="20" x14ac:dyDescent="0.2">
      <c r="A10" s="16" t="s">
        <v>40</v>
      </c>
      <c r="B10" s="17">
        <v>83.12</v>
      </c>
      <c r="C10">
        <f t="shared" si="0"/>
        <v>-6.0366267239430123</v>
      </c>
      <c r="D10" s="3">
        <f t="shared" si="1"/>
        <v>43497</v>
      </c>
    </row>
    <row r="11" spans="1:9" ht="20" x14ac:dyDescent="0.2">
      <c r="A11" s="16" t="s">
        <v>41</v>
      </c>
      <c r="B11" s="17">
        <v>88.46</v>
      </c>
      <c r="C11">
        <f t="shared" si="0"/>
        <v>38.024652831955045</v>
      </c>
      <c r="D11" s="3">
        <f t="shared" si="1"/>
        <v>43466</v>
      </c>
    </row>
    <row r="12" spans="1:9" ht="20" x14ac:dyDescent="0.2">
      <c r="A12" s="16" t="s">
        <v>42</v>
      </c>
      <c r="B12" s="17">
        <v>64.09</v>
      </c>
      <c r="C12">
        <f t="shared" si="0"/>
        <v>-11.257269454444746</v>
      </c>
      <c r="D12" s="3">
        <f t="shared" si="1"/>
        <v>43435</v>
      </c>
    </row>
    <row r="13" spans="1:9" ht="20" x14ac:dyDescent="0.2">
      <c r="A13" s="16" t="s">
        <v>43</v>
      </c>
      <c r="B13" s="17">
        <v>72.22</v>
      </c>
      <c r="C13">
        <f t="shared" si="0"/>
        <v>0.86592178770950368</v>
      </c>
      <c r="D13" s="3">
        <f t="shared" si="1"/>
        <v>43405</v>
      </c>
    </row>
    <row r="14" spans="1:9" ht="20" x14ac:dyDescent="0.2">
      <c r="A14" s="16" t="s">
        <v>44</v>
      </c>
      <c r="B14" s="17">
        <v>71.599999999999994</v>
      </c>
      <c r="C14">
        <f t="shared" si="0"/>
        <v>-19.991060453681978</v>
      </c>
      <c r="D14" s="3">
        <f t="shared" si="1"/>
        <v>43374</v>
      </c>
    </row>
    <row r="15" spans="1:9" ht="20" x14ac:dyDescent="0.2">
      <c r="A15" s="16" t="s">
        <v>45</v>
      </c>
      <c r="B15" s="17">
        <v>89.49</v>
      </c>
      <c r="C15">
        <f t="shared" si="0"/>
        <v>-5.2514557967178481</v>
      </c>
      <c r="D15" s="3">
        <f t="shared" si="1"/>
        <v>43344</v>
      </c>
    </row>
    <row r="16" spans="1:9" ht="20" x14ac:dyDescent="0.2">
      <c r="A16" s="16" t="s">
        <v>46</v>
      </c>
      <c r="B16" s="17">
        <v>94.45</v>
      </c>
      <c r="C16">
        <f t="shared" si="0"/>
        <v>4.8396048396048386</v>
      </c>
      <c r="D16" s="3">
        <f t="shared" si="1"/>
        <v>43313</v>
      </c>
    </row>
    <row r="17" spans="1:4" ht="20" x14ac:dyDescent="0.2">
      <c r="A17" s="16" t="s">
        <v>47</v>
      </c>
      <c r="B17" s="17">
        <v>90.09</v>
      </c>
      <c r="C17">
        <f t="shared" si="0"/>
        <v>13.434903047091415</v>
      </c>
      <c r="D17" s="3">
        <f t="shared" si="1"/>
        <v>43282</v>
      </c>
    </row>
    <row r="18" spans="1:4" ht="20" x14ac:dyDescent="0.2">
      <c r="A18" s="16" t="s">
        <v>48</v>
      </c>
      <c r="B18" s="17">
        <v>79.42</v>
      </c>
      <c r="C18">
        <f t="shared" si="0"/>
        <v>0.9405185561769126</v>
      </c>
      <c r="D18" s="3">
        <f t="shared" si="1"/>
        <v>43252</v>
      </c>
    </row>
    <row r="19" spans="1:4" ht="20" x14ac:dyDescent="0.2">
      <c r="A19" s="16" t="s">
        <v>49</v>
      </c>
      <c r="B19" s="17">
        <v>78.680000000000007</v>
      </c>
      <c r="C19">
        <f t="shared" si="0"/>
        <v>-9.6670493685418926</v>
      </c>
      <c r="D19" s="3">
        <f t="shared" si="1"/>
        <v>43221</v>
      </c>
    </row>
    <row r="20" spans="1:4" ht="20" x14ac:dyDescent="0.2">
      <c r="A20" s="16" t="s">
        <v>50</v>
      </c>
      <c r="B20" s="17">
        <v>87.1</v>
      </c>
      <c r="C20">
        <f t="shared" si="0"/>
        <v>-2.3652056944288753</v>
      </c>
      <c r="D20" s="3">
        <f t="shared" si="1"/>
        <v>43191</v>
      </c>
    </row>
    <row r="21" spans="1:4" ht="20" x14ac:dyDescent="0.2">
      <c r="A21" s="16" t="s">
        <v>51</v>
      </c>
      <c r="B21" s="17">
        <v>89.21</v>
      </c>
      <c r="C21">
        <f t="shared" si="0"/>
        <v>2.3989898989898863</v>
      </c>
      <c r="D21" s="3">
        <f t="shared" si="1"/>
        <v>43160</v>
      </c>
    </row>
    <row r="22" spans="1:4" ht="20" x14ac:dyDescent="0.2">
      <c r="A22" s="16" t="s">
        <v>52</v>
      </c>
      <c r="B22" s="17">
        <v>87.12</v>
      </c>
      <c r="C22">
        <f t="shared" si="0"/>
        <v>-13.879003558718853</v>
      </c>
      <c r="D22" s="3">
        <f t="shared" si="1"/>
        <v>43132</v>
      </c>
    </row>
    <row r="23" spans="1:4" ht="20" x14ac:dyDescent="0.2">
      <c r="A23" s="16" t="s">
        <v>53</v>
      </c>
      <c r="B23" s="17">
        <v>101.16</v>
      </c>
      <c r="C23">
        <f t="shared" si="0"/>
        <v>-3.0663089306247633</v>
      </c>
      <c r="D23" s="3">
        <f t="shared" si="1"/>
        <v>43101</v>
      </c>
    </row>
    <row r="24" spans="1:4" ht="20" x14ac:dyDescent="0.2">
      <c r="A24" s="16" t="s">
        <v>54</v>
      </c>
      <c r="B24" s="17">
        <v>104.36</v>
      </c>
      <c r="C24">
        <f t="shared" si="0"/>
        <v>3.500942179906775</v>
      </c>
      <c r="D24" s="3">
        <f t="shared" si="1"/>
        <v>43070</v>
      </c>
    </row>
    <row r="25" spans="1:4" ht="20" x14ac:dyDescent="0.2">
      <c r="A25" s="16" t="s">
        <v>55</v>
      </c>
      <c r="B25" s="17">
        <v>100.83</v>
      </c>
      <c r="C25">
        <f t="shared" si="0"/>
        <v>-0.13865504605328371</v>
      </c>
      <c r="D25" s="3">
        <f t="shared" si="1"/>
        <v>43040</v>
      </c>
    </row>
    <row r="26" spans="1:4" ht="20" x14ac:dyDescent="0.2">
      <c r="A26" s="16" t="s">
        <v>56</v>
      </c>
      <c r="B26" s="17">
        <v>100.97</v>
      </c>
      <c r="C26">
        <f t="shared" si="0"/>
        <v>-30.757097791798103</v>
      </c>
      <c r="D26" s="3">
        <f t="shared" si="1"/>
        <v>43009</v>
      </c>
    </row>
    <row r="27" spans="1:4" ht="20" x14ac:dyDescent="0.2">
      <c r="A27" s="16" t="s">
        <v>57</v>
      </c>
      <c r="B27" s="17">
        <v>145.82</v>
      </c>
      <c r="C27">
        <f t="shared" si="0"/>
        <v>4.959332037716826</v>
      </c>
      <c r="D27" s="3">
        <f t="shared" si="1"/>
        <v>42979</v>
      </c>
    </row>
    <row r="28" spans="1:4" ht="20" x14ac:dyDescent="0.2">
      <c r="A28" s="16" t="s">
        <v>58</v>
      </c>
      <c r="B28" s="17">
        <v>138.93</v>
      </c>
      <c r="C28">
        <f t="shared" si="0"/>
        <v>2.5995125913891224</v>
      </c>
      <c r="D28" s="3">
        <f t="shared" si="1"/>
        <v>42948</v>
      </c>
    </row>
    <row r="29" spans="1:4" ht="20" x14ac:dyDescent="0.2">
      <c r="A29" s="16" t="s">
        <v>59</v>
      </c>
      <c r="B29" s="17">
        <v>135.41</v>
      </c>
      <c r="C29">
        <f t="shared" si="0"/>
        <v>4.2658042658042596</v>
      </c>
      <c r="D29" s="3">
        <f t="shared" si="1"/>
        <v>42917</v>
      </c>
    </row>
    <row r="30" spans="1:4" ht="20" x14ac:dyDescent="0.2">
      <c r="A30" s="16" t="s">
        <v>60</v>
      </c>
      <c r="B30" s="17">
        <v>129.87</v>
      </c>
      <c r="C30">
        <f t="shared" si="0"/>
        <v>13.51280482475309</v>
      </c>
      <c r="D30" s="3">
        <f t="shared" si="1"/>
        <v>42887</v>
      </c>
    </row>
    <row r="31" spans="1:4" ht="20" x14ac:dyDescent="0.2">
      <c r="A31" s="16" t="s">
        <v>61</v>
      </c>
      <c r="B31" s="17">
        <v>114.41</v>
      </c>
      <c r="C31">
        <f t="shared" si="0"/>
        <v>-7.7710600564288592</v>
      </c>
      <c r="D31" s="3">
        <f t="shared" si="1"/>
        <v>42856</v>
      </c>
    </row>
    <row r="32" spans="1:4" ht="20" x14ac:dyDescent="0.2">
      <c r="A32" s="16" t="s">
        <v>62</v>
      </c>
      <c r="B32" s="17">
        <v>124.05</v>
      </c>
      <c r="C32">
        <f t="shared" si="0"/>
        <v>-0.30539259021137155</v>
      </c>
      <c r="D32" s="3">
        <f t="shared" si="1"/>
        <v>42826</v>
      </c>
    </row>
    <row r="33" spans="1:4" ht="20" x14ac:dyDescent="0.2">
      <c r="A33" s="16" t="s">
        <v>63</v>
      </c>
      <c r="B33" s="17">
        <v>124.43</v>
      </c>
      <c r="C33">
        <f t="shared" si="0"/>
        <v>0.74487895716946129</v>
      </c>
      <c r="D33" s="3">
        <f t="shared" si="1"/>
        <v>42795</v>
      </c>
    </row>
    <row r="34" spans="1:4" ht="20" x14ac:dyDescent="0.2">
      <c r="A34" s="16" t="s">
        <v>64</v>
      </c>
      <c r="B34" s="17">
        <v>123.51</v>
      </c>
      <c r="C34">
        <f t="shared" si="0"/>
        <v>6.336633663366336</v>
      </c>
      <c r="D34" s="3">
        <f t="shared" si="1"/>
        <v>42767</v>
      </c>
    </row>
    <row r="35" spans="1:4" ht="20" x14ac:dyDescent="0.2">
      <c r="A35" s="16" t="s">
        <v>65</v>
      </c>
      <c r="B35" s="17">
        <v>116.15</v>
      </c>
      <c r="C35">
        <f t="shared" si="0"/>
        <v>0.34557235421166799</v>
      </c>
      <c r="D35" s="3">
        <f t="shared" si="1"/>
        <v>42736</v>
      </c>
    </row>
    <row r="36" spans="1:4" ht="20" x14ac:dyDescent="0.2">
      <c r="A36" s="16" t="s">
        <v>66</v>
      </c>
      <c r="B36" s="17">
        <v>115.75</v>
      </c>
      <c r="C36">
        <f t="shared" si="0"/>
        <v>-2.3289173909374776</v>
      </c>
      <c r="D36" s="3">
        <f t="shared" si="1"/>
        <v>42705</v>
      </c>
    </row>
    <row r="37" spans="1:4" ht="20" x14ac:dyDescent="0.2">
      <c r="A37" s="16" t="s">
        <v>67</v>
      </c>
      <c r="B37" s="17">
        <v>118.51</v>
      </c>
      <c r="C37">
        <f t="shared" si="0"/>
        <v>15.98160109610491</v>
      </c>
      <c r="D37" s="3">
        <f t="shared" si="1"/>
        <v>42675</v>
      </c>
    </row>
    <row r="38" spans="1:4" ht="20" x14ac:dyDescent="0.2">
      <c r="A38" s="16" t="s">
        <v>68</v>
      </c>
      <c r="B38" s="17">
        <v>102.18</v>
      </c>
      <c r="C38">
        <f t="shared" si="0"/>
        <v>-2.2481584234191088</v>
      </c>
      <c r="D38" s="3">
        <f t="shared" si="1"/>
        <v>42644</v>
      </c>
    </row>
    <row r="39" spans="1:4" ht="20" x14ac:dyDescent="0.2">
      <c r="A39" s="16" t="s">
        <v>69</v>
      </c>
      <c r="B39" s="17">
        <v>104.53</v>
      </c>
      <c r="C39">
        <f t="shared" si="0"/>
        <v>-2.0704515645493666</v>
      </c>
      <c r="D39" s="3">
        <f t="shared" si="1"/>
        <v>42614</v>
      </c>
    </row>
    <row r="40" spans="1:4" ht="20" x14ac:dyDescent="0.2">
      <c r="A40" s="16" t="s">
        <v>70</v>
      </c>
      <c r="B40" s="17">
        <v>106.74</v>
      </c>
      <c r="C40">
        <f t="shared" si="0"/>
        <v>-4.8578304661734579</v>
      </c>
      <c r="D40" s="3">
        <f t="shared" si="1"/>
        <v>42583</v>
      </c>
    </row>
    <row r="41" spans="1:4" ht="20" x14ac:dyDescent="0.2">
      <c r="A41" s="16" t="s">
        <v>71</v>
      </c>
      <c r="B41" s="17">
        <v>112.19</v>
      </c>
      <c r="C41">
        <f t="shared" si="0"/>
        <v>13.748352428267264</v>
      </c>
      <c r="D41" s="3">
        <f t="shared" si="1"/>
        <v>42552</v>
      </c>
    </row>
    <row r="42" spans="1:4" ht="20" x14ac:dyDescent="0.2">
      <c r="A42" s="16" t="s">
        <v>72</v>
      </c>
      <c r="B42" s="17">
        <v>98.63</v>
      </c>
      <c r="C42">
        <f t="shared" si="0"/>
        <v>-6.5295678544351787</v>
      </c>
      <c r="D42" s="3">
        <f t="shared" si="1"/>
        <v>42522</v>
      </c>
    </row>
    <row r="43" spans="1:4" ht="20" x14ac:dyDescent="0.2">
      <c r="A43" s="16" t="s">
        <v>73</v>
      </c>
      <c r="B43" s="17">
        <v>105.52</v>
      </c>
      <c r="C43">
        <f t="shared" si="0"/>
        <v>2.0404216226670528</v>
      </c>
      <c r="D43" s="3">
        <f t="shared" si="1"/>
        <v>42491</v>
      </c>
    </row>
    <row r="44" spans="1:4" ht="20" x14ac:dyDescent="0.2">
      <c r="A44" s="16" t="s">
        <v>74</v>
      </c>
      <c r="B44" s="17">
        <v>103.41</v>
      </c>
      <c r="C44">
        <f t="shared" si="0"/>
        <v>3.3170146867818895</v>
      </c>
      <c r="D44" s="3">
        <f t="shared" si="1"/>
        <v>42461</v>
      </c>
    </row>
    <row r="45" spans="1:4" ht="20" x14ac:dyDescent="0.2">
      <c r="A45" s="16" t="s">
        <v>75</v>
      </c>
      <c r="B45" s="17">
        <v>100.09</v>
      </c>
      <c r="C45">
        <f t="shared" si="0"/>
        <v>-0.73390855896062168</v>
      </c>
      <c r="D45" s="3">
        <f t="shared" si="1"/>
        <v>42430</v>
      </c>
    </row>
    <row r="46" spans="1:4" ht="20" x14ac:dyDescent="0.2">
      <c r="A46" s="16" t="s">
        <v>76</v>
      </c>
      <c r="B46" s="17">
        <v>100.83</v>
      </c>
      <c r="C46">
        <f t="shared" si="0"/>
        <v>0.50837320574163192</v>
      </c>
      <c r="D46" s="3">
        <f t="shared" si="1"/>
        <v>42401</v>
      </c>
    </row>
    <row r="47" spans="1:4" ht="20" x14ac:dyDescent="0.2">
      <c r="A47" s="16" t="s">
        <v>77</v>
      </c>
      <c r="B47" s="17">
        <v>100.32</v>
      </c>
      <c r="C47">
        <f t="shared" si="0"/>
        <v>-16.232464929859727</v>
      </c>
      <c r="D47" s="3">
        <f t="shared" si="1"/>
        <v>42370</v>
      </c>
    </row>
    <row r="48" spans="1:4" ht="20" x14ac:dyDescent="0.2">
      <c r="A48" s="16" t="s">
        <v>78</v>
      </c>
      <c r="B48" s="17">
        <v>119.76</v>
      </c>
      <c r="C48">
        <f t="shared" si="0"/>
        <v>9.4198264047510296</v>
      </c>
      <c r="D48" s="3">
        <f t="shared" si="1"/>
        <v>42339</v>
      </c>
    </row>
    <row r="49" spans="1:4" ht="20" x14ac:dyDescent="0.2">
      <c r="A49" s="16" t="s">
        <v>79</v>
      </c>
      <c r="B49" s="17">
        <v>109.45</v>
      </c>
      <c r="C49">
        <f t="shared" si="0"/>
        <v>-10.805965284002927</v>
      </c>
      <c r="D49" s="3">
        <f t="shared" si="1"/>
        <v>42309</v>
      </c>
    </row>
    <row r="50" spans="1:4" ht="20" x14ac:dyDescent="0.2">
      <c r="A50" s="16" t="s">
        <v>80</v>
      </c>
      <c r="B50" s="17">
        <v>122.71</v>
      </c>
      <c r="C50">
        <f t="shared" si="0"/>
        <v>13.44180456688545</v>
      </c>
      <c r="D50" s="3">
        <f t="shared" si="1"/>
        <v>42278</v>
      </c>
    </row>
    <row r="51" spans="1:4" ht="20" x14ac:dyDescent="0.2">
      <c r="A51" s="16" t="s">
        <v>81</v>
      </c>
      <c r="B51" s="17">
        <v>108.17</v>
      </c>
      <c r="C51">
        <f t="shared" si="0"/>
        <v>-8.3926151761517591</v>
      </c>
      <c r="D51" s="3">
        <f t="shared" si="1"/>
        <v>42248</v>
      </c>
    </row>
    <row r="52" spans="1:4" ht="20" x14ac:dyDescent="0.2">
      <c r="A52" s="16" t="s">
        <v>82</v>
      </c>
      <c r="B52" s="17">
        <v>118.08</v>
      </c>
      <c r="C52">
        <f t="shared" si="0"/>
        <v>-10.034285714285716</v>
      </c>
      <c r="D52" s="3">
        <f t="shared" si="1"/>
        <v>42217</v>
      </c>
    </row>
    <row r="53" spans="1:4" ht="20" x14ac:dyDescent="0.2">
      <c r="A53" s="16" t="s">
        <v>83</v>
      </c>
      <c r="B53" s="17">
        <v>131.25</v>
      </c>
      <c r="C53">
        <f t="shared" si="0"/>
        <v>13.400725764644898</v>
      </c>
      <c r="D53" s="3">
        <f t="shared" si="1"/>
        <v>42186</v>
      </c>
    </row>
    <row r="54" spans="1:4" ht="20" x14ac:dyDescent="0.2">
      <c r="A54" s="16" t="s">
        <v>84</v>
      </c>
      <c r="B54" s="17">
        <v>115.74</v>
      </c>
      <c r="C54">
        <f t="shared" si="0"/>
        <v>1.1359664452988441</v>
      </c>
      <c r="D54" s="3">
        <f t="shared" si="1"/>
        <v>42156</v>
      </c>
    </row>
    <row r="55" spans="1:4" ht="20" x14ac:dyDescent="0.2">
      <c r="A55" s="16" t="s">
        <v>85</v>
      </c>
      <c r="B55" s="17">
        <v>114.44</v>
      </c>
      <c r="C55">
        <f t="shared" si="0"/>
        <v>5.9041273366648115</v>
      </c>
      <c r="D55" s="3">
        <f t="shared" si="1"/>
        <v>42125</v>
      </c>
    </row>
    <row r="56" spans="1:4" ht="20" x14ac:dyDescent="0.2">
      <c r="A56" s="16" t="s">
        <v>86</v>
      </c>
      <c r="B56" s="17">
        <v>108.06</v>
      </c>
      <c r="C56">
        <f t="shared" si="0"/>
        <v>-6.2630117973629416</v>
      </c>
      <c r="D56" s="3">
        <f t="shared" si="1"/>
        <v>42095</v>
      </c>
    </row>
    <row r="57" spans="1:4" ht="20" x14ac:dyDescent="0.2">
      <c r="A57" s="16" t="s">
        <v>87</v>
      </c>
      <c r="B57" s="17">
        <v>115.28</v>
      </c>
      <c r="C57">
        <f t="shared" si="0"/>
        <v>-5.1427631037603883</v>
      </c>
      <c r="D57" s="3">
        <f t="shared" si="1"/>
        <v>42064</v>
      </c>
    </row>
    <row r="58" spans="1:4" ht="20" x14ac:dyDescent="0.2">
      <c r="A58" s="16" t="s">
        <v>88</v>
      </c>
      <c r="B58" s="17">
        <v>121.53</v>
      </c>
      <c r="C58">
        <f t="shared" si="0"/>
        <v>1.9889224572004067</v>
      </c>
      <c r="D58" s="3">
        <f t="shared" si="1"/>
        <v>42036</v>
      </c>
    </row>
    <row r="59" spans="1:4" ht="20" x14ac:dyDescent="0.2">
      <c r="A59" s="16" t="s">
        <v>89</v>
      </c>
      <c r="B59" s="17">
        <v>119.16</v>
      </c>
      <c r="C59">
        <f t="shared" si="0"/>
        <v>6.5260146611836207</v>
      </c>
      <c r="D59" s="3">
        <f t="shared" si="1"/>
        <v>42005</v>
      </c>
    </row>
    <row r="60" spans="1:4" ht="20" x14ac:dyDescent="0.2">
      <c r="A60" s="16" t="s">
        <v>90</v>
      </c>
      <c r="B60" s="17">
        <v>111.86</v>
      </c>
      <c r="C60">
        <f t="shared" si="0"/>
        <v>-1.6096402498020919</v>
      </c>
      <c r="D60" s="3">
        <f t="shared" si="1"/>
        <v>41974</v>
      </c>
    </row>
    <row r="61" spans="1:4" ht="20" x14ac:dyDescent="0.2">
      <c r="A61" s="16" t="s">
        <v>91</v>
      </c>
      <c r="B61" s="17">
        <v>113.69</v>
      </c>
      <c r="C61">
        <f t="shared" si="0"/>
        <v>6.163040433280413</v>
      </c>
      <c r="D61" s="3">
        <f t="shared" si="1"/>
        <v>41944</v>
      </c>
    </row>
    <row r="62" spans="1:4" ht="20" x14ac:dyDescent="0.2">
      <c r="A62" s="16" t="s">
        <v>92</v>
      </c>
      <c r="B62" s="17">
        <v>107.09</v>
      </c>
      <c r="C62">
        <f t="shared" si="0"/>
        <v>12.98797214602237</v>
      </c>
      <c r="D62" s="3">
        <f t="shared" si="1"/>
        <v>41913</v>
      </c>
    </row>
    <row r="63" spans="1:4" ht="20" x14ac:dyDescent="0.2">
      <c r="A63" s="16" t="s">
        <v>93</v>
      </c>
      <c r="B63" s="17">
        <v>94.78</v>
      </c>
      <c r="C63">
        <f t="shared" si="0"/>
        <v>-0.2525784045464059</v>
      </c>
      <c r="D63" s="3">
        <f t="shared" si="1"/>
        <v>41883</v>
      </c>
    </row>
    <row r="64" spans="1:4" ht="20" x14ac:dyDescent="0.2">
      <c r="A64" s="16" t="s">
        <v>94</v>
      </c>
      <c r="B64" s="17">
        <v>95.02</v>
      </c>
      <c r="C64">
        <f t="shared" si="0"/>
        <v>9.0304073436603449</v>
      </c>
      <c r="D64" s="3">
        <f t="shared" si="1"/>
        <v>41852</v>
      </c>
    </row>
    <row r="65" spans="1:4" ht="20" x14ac:dyDescent="0.2">
      <c r="A65" s="16" t="s">
        <v>95</v>
      </c>
      <c r="B65" s="17">
        <v>87.15</v>
      </c>
      <c r="C65">
        <f t="shared" si="0"/>
        <v>1.4788076385654521</v>
      </c>
      <c r="D65" s="3">
        <f t="shared" si="1"/>
        <v>41821</v>
      </c>
    </row>
    <row r="66" spans="1:4" ht="20" x14ac:dyDescent="0.2">
      <c r="A66" s="16" t="s">
        <v>96</v>
      </c>
      <c r="B66" s="17">
        <v>85.88</v>
      </c>
      <c r="C66">
        <f t="shared" si="0"/>
        <v>12.246765128741329</v>
      </c>
      <c r="D66" s="3">
        <f t="shared" si="1"/>
        <v>41791</v>
      </c>
    </row>
    <row r="67" spans="1:4" ht="20" x14ac:dyDescent="0.2">
      <c r="A67" s="16" t="s">
        <v>97</v>
      </c>
      <c r="B67" s="17">
        <v>76.510000000000005</v>
      </c>
      <c r="C67">
        <f t="shared" ref="C67:C130" si="2">100*(B67-B68)/B68</f>
        <v>4.095238095238102</v>
      </c>
      <c r="D67" s="3">
        <f t="shared" si="1"/>
        <v>41760</v>
      </c>
    </row>
    <row r="68" spans="1:4" ht="20" x14ac:dyDescent="0.2">
      <c r="A68" s="16" t="s">
        <v>98</v>
      </c>
      <c r="B68" s="17">
        <v>73.5</v>
      </c>
      <c r="C68">
        <f t="shared" si="2"/>
        <v>5.3008595988538723</v>
      </c>
      <c r="D68" s="3">
        <f t="shared" ref="D68:D131" si="3">EDATE(D67,-1)</f>
        <v>41730</v>
      </c>
    </row>
    <row r="69" spans="1:4" ht="20" x14ac:dyDescent="0.2">
      <c r="A69" s="16" t="s">
        <v>99</v>
      </c>
      <c r="B69" s="17">
        <v>69.8</v>
      </c>
      <c r="C69">
        <f t="shared" si="2"/>
        <v>-13.162478228415026</v>
      </c>
      <c r="D69" s="3">
        <f t="shared" si="3"/>
        <v>41699</v>
      </c>
    </row>
    <row r="70" spans="1:4" ht="20" x14ac:dyDescent="0.2">
      <c r="A70" s="16" t="s">
        <v>100</v>
      </c>
      <c r="B70" s="17">
        <v>80.38</v>
      </c>
      <c r="C70">
        <f t="shared" si="2"/>
        <v>5.8188520273828361</v>
      </c>
      <c r="D70" s="3">
        <f t="shared" si="3"/>
        <v>41671</v>
      </c>
    </row>
    <row r="71" spans="1:4" ht="20" x14ac:dyDescent="0.2">
      <c r="A71" s="16" t="s">
        <v>101</v>
      </c>
      <c r="B71" s="17">
        <v>75.959999999999994</v>
      </c>
      <c r="C71">
        <f t="shared" si="2"/>
        <v>-10.085227272727284</v>
      </c>
      <c r="D71" s="3">
        <f t="shared" si="3"/>
        <v>41640</v>
      </c>
    </row>
    <row r="72" spans="1:4" ht="20" x14ac:dyDescent="0.2">
      <c r="A72" s="16" t="s">
        <v>102</v>
      </c>
      <c r="B72" s="17">
        <v>84.48</v>
      </c>
      <c r="C72">
        <f t="shared" si="2"/>
        <v>4.4381258499196479</v>
      </c>
      <c r="D72" s="3">
        <f t="shared" si="3"/>
        <v>41609</v>
      </c>
    </row>
    <row r="73" spans="1:4" ht="20" x14ac:dyDescent="0.2">
      <c r="A73" s="16" t="s">
        <v>103</v>
      </c>
      <c r="B73" s="17">
        <v>80.89</v>
      </c>
      <c r="C73">
        <f t="shared" si="2"/>
        <v>8.9427609427609429</v>
      </c>
      <c r="D73" s="3">
        <f t="shared" si="3"/>
        <v>41579</v>
      </c>
    </row>
    <row r="74" spans="1:4" ht="20" x14ac:dyDescent="0.2">
      <c r="A74" s="16" t="s">
        <v>104</v>
      </c>
      <c r="B74" s="17">
        <v>74.25</v>
      </c>
      <c r="C74">
        <f t="shared" si="2"/>
        <v>-3.6590112884390726</v>
      </c>
      <c r="D74" s="3">
        <f t="shared" si="3"/>
        <v>41548</v>
      </c>
    </row>
    <row r="75" spans="1:4" ht="20" x14ac:dyDescent="0.2">
      <c r="A75" s="16" t="s">
        <v>105</v>
      </c>
      <c r="B75" s="17">
        <v>77.069999999999993</v>
      </c>
      <c r="C75">
        <f t="shared" si="2"/>
        <v>10.115730818688382</v>
      </c>
      <c r="D75" s="3">
        <f t="shared" si="3"/>
        <v>41518</v>
      </c>
    </row>
    <row r="76" spans="1:4" ht="20" x14ac:dyDescent="0.2">
      <c r="A76" s="16" t="s">
        <v>106</v>
      </c>
      <c r="B76" s="17">
        <v>69.989999999999995</v>
      </c>
      <c r="C76">
        <f t="shared" si="2"/>
        <v>-4.6847337600435948</v>
      </c>
      <c r="D76" s="3">
        <f t="shared" si="3"/>
        <v>41487</v>
      </c>
    </row>
    <row r="77" spans="1:4" ht="20" x14ac:dyDescent="0.2">
      <c r="A77" s="16" t="s">
        <v>107</v>
      </c>
      <c r="B77" s="17">
        <v>73.430000000000007</v>
      </c>
      <c r="C77">
        <f t="shared" si="2"/>
        <v>25.542827833817753</v>
      </c>
      <c r="D77" s="3">
        <f t="shared" si="3"/>
        <v>41456</v>
      </c>
    </row>
    <row r="78" spans="1:4" ht="20" x14ac:dyDescent="0.2">
      <c r="A78" s="16" t="s">
        <v>108</v>
      </c>
      <c r="B78" s="17">
        <v>58.49</v>
      </c>
      <c r="C78">
        <f t="shared" si="2"/>
        <v>-5.4019084586770125</v>
      </c>
      <c r="D78" s="3">
        <f t="shared" si="3"/>
        <v>41426</v>
      </c>
    </row>
    <row r="79" spans="1:4" ht="20" x14ac:dyDescent="0.2">
      <c r="A79" s="16" t="s">
        <v>109</v>
      </c>
      <c r="B79" s="17">
        <v>61.83</v>
      </c>
      <c r="C79">
        <f t="shared" si="2"/>
        <v>4.7256097560975592</v>
      </c>
      <c r="D79" s="3">
        <f t="shared" si="3"/>
        <v>41395</v>
      </c>
    </row>
    <row r="80" spans="1:4" ht="20" x14ac:dyDescent="0.2">
      <c r="A80" s="16" t="s">
        <v>110</v>
      </c>
      <c r="B80" s="17">
        <v>59.04</v>
      </c>
      <c r="C80">
        <f t="shared" si="2"/>
        <v>1.8633540372670778</v>
      </c>
      <c r="D80" s="3">
        <f t="shared" si="3"/>
        <v>41365</v>
      </c>
    </row>
    <row r="81" spans="1:4" ht="20" x14ac:dyDescent="0.2">
      <c r="A81" s="16" t="s">
        <v>111</v>
      </c>
      <c r="B81" s="17">
        <v>57.96</v>
      </c>
      <c r="C81">
        <f t="shared" si="2"/>
        <v>12.260313771063331</v>
      </c>
      <c r="D81" s="3">
        <f t="shared" si="3"/>
        <v>41334</v>
      </c>
    </row>
    <row r="82" spans="1:4" ht="20" x14ac:dyDescent="0.2">
      <c r="A82" s="16" t="s">
        <v>112</v>
      </c>
      <c r="B82" s="17">
        <v>51.63</v>
      </c>
      <c r="C82">
        <f t="shared" si="2"/>
        <v>4.3451899757477888</v>
      </c>
      <c r="D82" s="3">
        <f t="shared" si="3"/>
        <v>41306</v>
      </c>
    </row>
    <row r="83" spans="1:4" ht="20" x14ac:dyDescent="0.2">
      <c r="A83" s="16" t="s">
        <v>113</v>
      </c>
      <c r="B83" s="17">
        <v>49.48</v>
      </c>
      <c r="C83">
        <f t="shared" si="2"/>
        <v>26.095820591233423</v>
      </c>
      <c r="D83" s="3">
        <f t="shared" si="3"/>
        <v>41275</v>
      </c>
    </row>
    <row r="84" spans="1:4" ht="20" x14ac:dyDescent="0.2">
      <c r="A84" s="16" t="s">
        <v>114</v>
      </c>
      <c r="B84" s="17">
        <v>39.24</v>
      </c>
      <c r="C84">
        <f t="shared" si="2"/>
        <v>-0.1272588444896848</v>
      </c>
      <c r="D84" s="3">
        <f t="shared" si="3"/>
        <v>41244</v>
      </c>
    </row>
    <row r="85" spans="1:4" ht="20" x14ac:dyDescent="0.2">
      <c r="A85" s="16" t="s">
        <v>115</v>
      </c>
      <c r="B85" s="17">
        <v>39.29</v>
      </c>
      <c r="C85">
        <f t="shared" si="2"/>
        <v>7.1448050177256546</v>
      </c>
      <c r="D85" s="3">
        <f t="shared" si="3"/>
        <v>41214</v>
      </c>
    </row>
    <row r="86" spans="1:4" ht="20" x14ac:dyDescent="0.2">
      <c r="A86" s="16" t="s">
        <v>116</v>
      </c>
      <c r="B86" s="17">
        <v>36.67</v>
      </c>
      <c r="C86">
        <f t="shared" si="2"/>
        <v>-4.0052356020942437</v>
      </c>
      <c r="D86" s="3">
        <f t="shared" si="3"/>
        <v>41183</v>
      </c>
    </row>
    <row r="87" spans="1:4" ht="20" x14ac:dyDescent="0.2">
      <c r="A87" s="16" t="s">
        <v>117</v>
      </c>
      <c r="B87" s="17">
        <v>38.200000000000003</v>
      </c>
      <c r="C87">
        <f t="shared" si="2"/>
        <v>6.0521932259855626</v>
      </c>
      <c r="D87" s="3">
        <f t="shared" si="3"/>
        <v>41153</v>
      </c>
    </row>
    <row r="88" spans="1:4" ht="20" x14ac:dyDescent="0.2">
      <c r="A88" s="16" t="s">
        <v>118</v>
      </c>
      <c r="B88" s="17">
        <v>36.020000000000003</v>
      </c>
      <c r="C88">
        <f t="shared" si="2"/>
        <v>5.2293309962021803</v>
      </c>
      <c r="D88" s="3">
        <f t="shared" si="3"/>
        <v>41122</v>
      </c>
    </row>
    <row r="89" spans="1:4" ht="20" x14ac:dyDescent="0.2">
      <c r="A89" s="16" t="s">
        <v>119</v>
      </c>
      <c r="B89" s="17">
        <v>34.229999999999997</v>
      </c>
      <c r="C89">
        <f t="shared" si="2"/>
        <v>6.7019950124688235</v>
      </c>
      <c r="D89" s="3">
        <f t="shared" si="3"/>
        <v>41091</v>
      </c>
    </row>
    <row r="90" spans="1:4" ht="20" x14ac:dyDescent="0.2">
      <c r="A90" s="16" t="s">
        <v>120</v>
      </c>
      <c r="B90" s="17">
        <v>32.08</v>
      </c>
      <c r="C90">
        <f t="shared" si="2"/>
        <v>-5.9788980070339957</v>
      </c>
      <c r="D90" s="3">
        <f t="shared" si="3"/>
        <v>41061</v>
      </c>
    </row>
    <row r="91" spans="1:4" ht="20" x14ac:dyDescent="0.2">
      <c r="A91" s="16" t="s">
        <v>121</v>
      </c>
      <c r="B91" s="17">
        <v>34.119999999999997</v>
      </c>
      <c r="C91">
        <f t="shared" si="2"/>
        <v>-6.4179923203510789</v>
      </c>
      <c r="D91" s="3">
        <f t="shared" si="3"/>
        <v>41030</v>
      </c>
    </row>
    <row r="92" spans="1:4" ht="20" x14ac:dyDescent="0.2">
      <c r="A92" s="16" t="s">
        <v>122</v>
      </c>
      <c r="B92" s="17">
        <v>36.46</v>
      </c>
      <c r="C92">
        <f t="shared" si="2"/>
        <v>-5.9339525283797663</v>
      </c>
      <c r="D92" s="3">
        <f t="shared" si="3"/>
        <v>41000</v>
      </c>
    </row>
    <row r="93" spans="1:4" ht="20" x14ac:dyDescent="0.2">
      <c r="A93" s="16" t="s">
        <v>123</v>
      </c>
      <c r="B93" s="17">
        <v>38.76</v>
      </c>
      <c r="C93">
        <f t="shared" si="2"/>
        <v>5.7283142389525414</v>
      </c>
      <c r="D93" s="3">
        <f t="shared" si="3"/>
        <v>40969</v>
      </c>
    </row>
    <row r="94" spans="1:4" ht="20" x14ac:dyDescent="0.2">
      <c r="A94" s="16" t="s">
        <v>124</v>
      </c>
      <c r="B94" s="17">
        <v>36.659999999999997</v>
      </c>
      <c r="C94">
        <f t="shared" si="2"/>
        <v>0.85281980742777208</v>
      </c>
      <c r="D94" s="3">
        <f t="shared" si="3"/>
        <v>40940</v>
      </c>
    </row>
    <row r="95" spans="1:4" ht="20" x14ac:dyDescent="0.2">
      <c r="A95" s="16" t="s">
        <v>125</v>
      </c>
      <c r="B95" s="17">
        <v>36.35</v>
      </c>
      <c r="C95">
        <f t="shared" si="2"/>
        <v>7.5443786982248655</v>
      </c>
      <c r="D95" s="3">
        <f t="shared" si="3"/>
        <v>40909</v>
      </c>
    </row>
    <row r="96" spans="1:4" ht="20" x14ac:dyDescent="0.2">
      <c r="A96" s="16" t="s">
        <v>126</v>
      </c>
      <c r="B96" s="17">
        <v>33.799999999999997</v>
      </c>
      <c r="C96">
        <f t="shared" si="2"/>
        <v>7.1655041217501525</v>
      </c>
      <c r="D96" s="3">
        <f t="shared" si="3"/>
        <v>40878</v>
      </c>
    </row>
    <row r="97" spans="1:4" ht="20" x14ac:dyDescent="0.2">
      <c r="A97" s="16" t="s">
        <v>127</v>
      </c>
      <c r="B97" s="17">
        <v>31.54</v>
      </c>
      <c r="C97">
        <f t="shared" si="2"/>
        <v>-2.7143738433066087</v>
      </c>
      <c r="D97" s="3">
        <f t="shared" si="3"/>
        <v>40848</v>
      </c>
    </row>
    <row r="98" spans="1:4" ht="20" x14ac:dyDescent="0.2">
      <c r="A98" s="16" t="s">
        <v>128</v>
      </c>
      <c r="B98" s="17">
        <v>32.42</v>
      </c>
      <c r="C98">
        <f t="shared" si="2"/>
        <v>4.7157622739018112</v>
      </c>
      <c r="D98" s="3">
        <f t="shared" si="3"/>
        <v>40817</v>
      </c>
    </row>
    <row r="99" spans="1:4" ht="20" x14ac:dyDescent="0.2">
      <c r="A99" s="16" t="s">
        <v>129</v>
      </c>
      <c r="B99" s="17">
        <v>30.96</v>
      </c>
      <c r="C99">
        <f t="shared" si="2"/>
        <v>4.1022192333557586</v>
      </c>
      <c r="D99" s="3">
        <f t="shared" si="3"/>
        <v>40787</v>
      </c>
    </row>
    <row r="100" spans="1:4" ht="20" x14ac:dyDescent="0.2">
      <c r="A100" s="16" t="s">
        <v>130</v>
      </c>
      <c r="B100" s="17">
        <v>29.74</v>
      </c>
      <c r="C100">
        <f t="shared" si="2"/>
        <v>0.30354131534569939</v>
      </c>
      <c r="D100" s="3">
        <f t="shared" si="3"/>
        <v>40756</v>
      </c>
    </row>
    <row r="101" spans="1:4" ht="20" x14ac:dyDescent="0.2">
      <c r="A101" s="16" t="s">
        <v>131</v>
      </c>
      <c r="B101" s="17">
        <v>29.65</v>
      </c>
      <c r="C101">
        <f t="shared" si="2"/>
        <v>-1.6909814323607479</v>
      </c>
      <c r="D101" s="3">
        <f t="shared" si="3"/>
        <v>40725</v>
      </c>
    </row>
    <row r="102" spans="1:4" ht="20" x14ac:dyDescent="0.2">
      <c r="A102" s="16" t="s">
        <v>132</v>
      </c>
      <c r="B102" s="17">
        <v>30.16</v>
      </c>
      <c r="C102">
        <f t="shared" si="2"/>
        <v>-0.98489822718319342</v>
      </c>
      <c r="D102" s="3">
        <f t="shared" si="3"/>
        <v>40695</v>
      </c>
    </row>
    <row r="103" spans="1:4" ht="20" x14ac:dyDescent="0.2">
      <c r="A103" s="16" t="s">
        <v>133</v>
      </c>
      <c r="B103" s="17">
        <v>30.46</v>
      </c>
      <c r="C103">
        <f t="shared" si="2"/>
        <v>3.4646739130434767</v>
      </c>
      <c r="D103" s="3">
        <f t="shared" si="3"/>
        <v>40664</v>
      </c>
    </row>
    <row r="104" spans="1:4" ht="20" x14ac:dyDescent="0.2">
      <c r="A104" s="16" t="s">
        <v>134</v>
      </c>
      <c r="B104" s="17">
        <v>29.44</v>
      </c>
      <c r="C104">
        <f t="shared" si="2"/>
        <v>2.2577283779090038</v>
      </c>
      <c r="D104" s="3">
        <f t="shared" si="3"/>
        <v>40634</v>
      </c>
    </row>
    <row r="105" spans="1:4" ht="20" x14ac:dyDescent="0.2">
      <c r="A105" s="16" t="s">
        <v>135</v>
      </c>
      <c r="B105" s="17">
        <v>28.79</v>
      </c>
      <c r="C105">
        <f t="shared" si="2"/>
        <v>8.4369114877589393</v>
      </c>
      <c r="D105" s="3">
        <f t="shared" si="3"/>
        <v>40603</v>
      </c>
    </row>
    <row r="106" spans="1:4" ht="20" x14ac:dyDescent="0.2">
      <c r="A106" s="16" t="s">
        <v>136</v>
      </c>
      <c r="B106" s="17">
        <v>26.55</v>
      </c>
      <c r="C106">
        <f t="shared" si="2"/>
        <v>3.0667701863354004</v>
      </c>
      <c r="D106" s="3">
        <f t="shared" si="3"/>
        <v>40575</v>
      </c>
    </row>
    <row r="107" spans="1:4" ht="20" x14ac:dyDescent="0.2">
      <c r="A107" s="16" t="s">
        <v>137</v>
      </c>
      <c r="B107" s="17">
        <v>25.76</v>
      </c>
      <c r="C107">
        <f t="shared" si="2"/>
        <v>-12.884680419343926</v>
      </c>
      <c r="D107" s="3">
        <f t="shared" si="3"/>
        <v>40544</v>
      </c>
    </row>
    <row r="108" spans="1:4" ht="20" x14ac:dyDescent="0.2">
      <c r="A108" s="16" t="s">
        <v>138</v>
      </c>
      <c r="B108" s="17">
        <v>29.57</v>
      </c>
      <c r="C108">
        <f t="shared" si="2"/>
        <v>-0.40417649040081166</v>
      </c>
      <c r="D108" s="3">
        <f t="shared" si="3"/>
        <v>40513</v>
      </c>
    </row>
    <row r="109" spans="1:4" ht="20" x14ac:dyDescent="0.2">
      <c r="A109" s="16" t="s">
        <v>139</v>
      </c>
      <c r="B109" s="17">
        <v>29.69</v>
      </c>
      <c r="C109">
        <f t="shared" si="2"/>
        <v>-4.2566913898742351</v>
      </c>
      <c r="D109" s="3">
        <f t="shared" si="3"/>
        <v>40483</v>
      </c>
    </row>
    <row r="110" spans="1:4" ht="20" x14ac:dyDescent="0.2">
      <c r="A110" s="16" t="s">
        <v>140</v>
      </c>
      <c r="B110" s="17">
        <v>31.01</v>
      </c>
      <c r="C110">
        <f t="shared" si="2"/>
        <v>7.6736111111111143</v>
      </c>
      <c r="D110" s="3">
        <f t="shared" si="3"/>
        <v>40452</v>
      </c>
    </row>
    <row r="111" spans="1:4" ht="20" x14ac:dyDescent="0.2">
      <c r="A111" s="16" t="s">
        <v>141</v>
      </c>
      <c r="B111" s="17">
        <v>28.8</v>
      </c>
      <c r="C111">
        <f t="shared" si="2"/>
        <v>11.888111888111897</v>
      </c>
      <c r="D111" s="3">
        <f t="shared" si="3"/>
        <v>40422</v>
      </c>
    </row>
    <row r="112" spans="1:4" ht="20" x14ac:dyDescent="0.2">
      <c r="A112" s="16" t="s">
        <v>142</v>
      </c>
      <c r="B112" s="17">
        <v>25.74</v>
      </c>
      <c r="C112">
        <f t="shared" si="2"/>
        <v>-6.6715010877447432</v>
      </c>
      <c r="D112" s="3">
        <f t="shared" si="3"/>
        <v>40391</v>
      </c>
    </row>
    <row r="113" spans="1:4" ht="20" x14ac:dyDescent="0.2">
      <c r="A113" s="16" t="s">
        <v>143</v>
      </c>
      <c r="B113" s="17">
        <v>27.58</v>
      </c>
      <c r="C113">
        <f t="shared" si="2"/>
        <v>8.5399449035812598</v>
      </c>
      <c r="D113" s="3">
        <f t="shared" si="3"/>
        <v>40360</v>
      </c>
    </row>
    <row r="114" spans="1:4" ht="20" x14ac:dyDescent="0.2">
      <c r="A114" s="16" t="s">
        <v>144</v>
      </c>
      <c r="B114" s="17">
        <v>25.41</v>
      </c>
      <c r="C114">
        <f t="shared" si="2"/>
        <v>-3.6770280515542035</v>
      </c>
      <c r="D114" s="3">
        <f t="shared" si="3"/>
        <v>40330</v>
      </c>
    </row>
    <row r="115" spans="1:4" ht="20" x14ac:dyDescent="0.2">
      <c r="A115" s="16" t="s">
        <v>145</v>
      </c>
      <c r="B115" s="17">
        <v>26.38</v>
      </c>
      <c r="C115">
        <f t="shared" si="2"/>
        <v>-14.903225806451617</v>
      </c>
      <c r="D115" s="3">
        <f t="shared" si="3"/>
        <v>40299</v>
      </c>
    </row>
    <row r="116" spans="1:4" ht="20" x14ac:dyDescent="0.2">
      <c r="A116" s="16" t="s">
        <v>146</v>
      </c>
      <c r="B116" s="18">
        <v>31</v>
      </c>
      <c r="C116">
        <f t="shared" si="2"/>
        <v>6.4557779212393723E-2</v>
      </c>
      <c r="D116" s="3">
        <f t="shared" si="3"/>
        <v>40269</v>
      </c>
    </row>
    <row r="117" spans="1:4" ht="20" x14ac:dyDescent="0.2">
      <c r="A117" s="16" t="s">
        <v>147</v>
      </c>
      <c r="B117" s="17">
        <v>30.98</v>
      </c>
      <c r="C117">
        <f t="shared" si="2"/>
        <v>4.0994623655913935</v>
      </c>
      <c r="D117" s="3">
        <f t="shared" si="3"/>
        <v>40238</v>
      </c>
    </row>
    <row r="118" spans="1:4" ht="20" x14ac:dyDescent="0.2">
      <c r="A118" s="16" t="s">
        <v>148</v>
      </c>
      <c r="B118" s="17">
        <v>29.76</v>
      </c>
      <c r="C118">
        <f t="shared" si="2"/>
        <v>4.8256428319830968</v>
      </c>
      <c r="D118" s="3">
        <f t="shared" si="3"/>
        <v>40210</v>
      </c>
    </row>
    <row r="119" spans="1:4" ht="20" x14ac:dyDescent="0.2">
      <c r="A119" s="16" t="s">
        <v>149</v>
      </c>
      <c r="B119" s="17">
        <v>28.39</v>
      </c>
      <c r="C119">
        <f t="shared" si="2"/>
        <v>1.9755747126436807</v>
      </c>
      <c r="D119" s="3">
        <f t="shared" si="3"/>
        <v>40179</v>
      </c>
    </row>
    <row r="120" spans="1:4" ht="20" x14ac:dyDescent="0.2">
      <c r="A120" s="16" t="s">
        <v>150</v>
      </c>
      <c r="B120" s="17">
        <v>27.84</v>
      </c>
      <c r="C120">
        <f t="shared" si="2"/>
        <v>0.4329004329004365</v>
      </c>
      <c r="D120" s="3">
        <f t="shared" si="3"/>
        <v>40148</v>
      </c>
    </row>
    <row r="121" spans="1:4" ht="20" x14ac:dyDescent="0.2">
      <c r="A121" s="16" t="s">
        <v>151</v>
      </c>
      <c r="B121" s="17">
        <v>27.72</v>
      </c>
      <c r="C121">
        <f t="shared" si="2"/>
        <v>8.620689655172411</v>
      </c>
      <c r="D121" s="3">
        <f t="shared" si="3"/>
        <v>40118</v>
      </c>
    </row>
    <row r="122" spans="1:4" ht="20" x14ac:dyDescent="0.2">
      <c r="A122" s="16" t="s">
        <v>152</v>
      </c>
      <c r="B122" s="17">
        <v>25.52</v>
      </c>
      <c r="C122">
        <f t="shared" si="2"/>
        <v>-8.694096601073344</v>
      </c>
      <c r="D122" s="3">
        <f t="shared" si="3"/>
        <v>40087</v>
      </c>
    </row>
    <row r="123" spans="1:4" ht="20" x14ac:dyDescent="0.2">
      <c r="A123" s="16" t="s">
        <v>153</v>
      </c>
      <c r="B123" s="17">
        <v>27.95</v>
      </c>
      <c r="C123">
        <f t="shared" si="2"/>
        <v>7.1702453987730106</v>
      </c>
      <c r="D123" s="3">
        <f t="shared" si="3"/>
        <v>40057</v>
      </c>
    </row>
    <row r="124" spans="1:4" ht="20" x14ac:dyDescent="0.2">
      <c r="A124" s="16" t="s">
        <v>154</v>
      </c>
      <c r="B124" s="17">
        <v>26.08</v>
      </c>
      <c r="C124">
        <f t="shared" si="2"/>
        <v>-8.4269662921348392</v>
      </c>
      <c r="D124" s="3">
        <f t="shared" si="3"/>
        <v>40026</v>
      </c>
    </row>
    <row r="125" spans="1:4" ht="20" x14ac:dyDescent="0.2">
      <c r="A125" s="16" t="s">
        <v>155</v>
      </c>
      <c r="B125" s="17">
        <v>28.48</v>
      </c>
      <c r="C125">
        <f t="shared" si="2"/>
        <v>19.063545150501668</v>
      </c>
      <c r="D125" s="3">
        <f t="shared" si="3"/>
        <v>39995</v>
      </c>
    </row>
    <row r="126" spans="1:4" ht="20" x14ac:dyDescent="0.2">
      <c r="A126" s="16" t="s">
        <v>156</v>
      </c>
      <c r="B126" s="17">
        <v>23.92</v>
      </c>
      <c r="C126">
        <f t="shared" si="2"/>
        <v>13.25757575757576</v>
      </c>
      <c r="D126" s="3">
        <f t="shared" si="3"/>
        <v>39965</v>
      </c>
    </row>
    <row r="127" spans="1:4" ht="20" x14ac:dyDescent="0.2">
      <c r="A127" s="16" t="s">
        <v>157</v>
      </c>
      <c r="B127" s="17">
        <v>21.12</v>
      </c>
      <c r="C127">
        <f t="shared" si="2"/>
        <v>-1.1235955056179703</v>
      </c>
      <c r="D127" s="3">
        <f t="shared" si="3"/>
        <v>39934</v>
      </c>
    </row>
    <row r="128" spans="1:4" ht="20" x14ac:dyDescent="0.2">
      <c r="A128" s="16" t="s">
        <v>158</v>
      </c>
      <c r="B128" s="17">
        <v>21.36</v>
      </c>
      <c r="C128">
        <f t="shared" si="2"/>
        <v>-3.7837837837837833</v>
      </c>
      <c r="D128" s="3">
        <f t="shared" si="3"/>
        <v>39904</v>
      </c>
    </row>
    <row r="129" spans="1:4" ht="20" x14ac:dyDescent="0.2">
      <c r="A129" s="16" t="s">
        <v>159</v>
      </c>
      <c r="B129" s="17">
        <v>22.2</v>
      </c>
      <c r="C129">
        <f t="shared" si="2"/>
        <v>-0.71556350626118137</v>
      </c>
      <c r="D129" s="3">
        <f t="shared" si="3"/>
        <v>39873</v>
      </c>
    </row>
    <row r="130" spans="1:4" ht="20" x14ac:dyDescent="0.2">
      <c r="A130" s="16" t="s">
        <v>160</v>
      </c>
      <c r="B130" s="17">
        <v>22.36</v>
      </c>
      <c r="C130">
        <f t="shared" si="2"/>
        <v>-15.558912386706952</v>
      </c>
      <c r="D130" s="3">
        <f t="shared" si="3"/>
        <v>39845</v>
      </c>
    </row>
    <row r="131" spans="1:4" ht="20" x14ac:dyDescent="0.2">
      <c r="A131" s="16" t="s">
        <v>161</v>
      </c>
      <c r="B131" s="17">
        <v>26.48</v>
      </c>
      <c r="C131">
        <f t="shared" ref="C131:C194" si="4">100*(B131-B132)/B132</f>
        <v>-4.1968162083936331</v>
      </c>
      <c r="D131" s="3">
        <f t="shared" si="3"/>
        <v>39814</v>
      </c>
    </row>
    <row r="132" spans="1:4" ht="20" x14ac:dyDescent="0.2">
      <c r="A132" s="16" t="s">
        <v>162</v>
      </c>
      <c r="B132" s="17">
        <v>27.64</v>
      </c>
      <c r="C132">
        <f t="shared" si="4"/>
        <v>6.1036468330134355</v>
      </c>
      <c r="D132" s="3">
        <f t="shared" ref="D132:D195" si="5">EDATE(D131,-1)</f>
        <v>39783</v>
      </c>
    </row>
    <row r="133" spans="1:4" ht="20" x14ac:dyDescent="0.2">
      <c r="A133" s="16" t="s">
        <v>163</v>
      </c>
      <c r="B133" s="17">
        <v>26.05</v>
      </c>
      <c r="C133">
        <f t="shared" si="4"/>
        <v>-18.923124805477752</v>
      </c>
      <c r="D133" s="3">
        <f t="shared" si="5"/>
        <v>39753</v>
      </c>
    </row>
    <row r="134" spans="1:4" ht="20" x14ac:dyDescent="0.2">
      <c r="A134" s="16" t="s">
        <v>164</v>
      </c>
      <c r="B134" s="17">
        <v>32.130000000000003</v>
      </c>
      <c r="C134">
        <f t="shared" si="4"/>
        <v>1.5486725663716876</v>
      </c>
      <c r="D134" s="3">
        <f t="shared" si="5"/>
        <v>39722</v>
      </c>
    </row>
    <row r="135" spans="1:4" ht="20" x14ac:dyDescent="0.2">
      <c r="A135" s="16" t="s">
        <v>165</v>
      </c>
      <c r="B135" s="17">
        <v>31.64</v>
      </c>
      <c r="C135">
        <f t="shared" si="4"/>
        <v>-8.6868686868686815</v>
      </c>
      <c r="D135" s="3">
        <f t="shared" si="5"/>
        <v>39692</v>
      </c>
    </row>
    <row r="136" spans="1:4" ht="20" x14ac:dyDescent="0.2">
      <c r="A136" s="16" t="s">
        <v>166</v>
      </c>
      <c r="B136" s="17">
        <v>34.65</v>
      </c>
      <c r="C136">
        <f t="shared" si="4"/>
        <v>-8.1875993640699605</v>
      </c>
      <c r="D136" s="3">
        <f t="shared" si="5"/>
        <v>39661</v>
      </c>
    </row>
    <row r="137" spans="1:4" ht="20" x14ac:dyDescent="0.2">
      <c r="A137" s="16" t="s">
        <v>167</v>
      </c>
      <c r="B137" s="17">
        <v>37.74</v>
      </c>
      <c r="C137">
        <f t="shared" si="4"/>
        <v>18.1960538678359</v>
      </c>
      <c r="D137" s="3">
        <f t="shared" si="5"/>
        <v>39630</v>
      </c>
    </row>
    <row r="138" spans="1:4" ht="20" x14ac:dyDescent="0.2">
      <c r="A138" s="16" t="s">
        <v>168</v>
      </c>
      <c r="B138" s="17">
        <v>31.93</v>
      </c>
      <c r="C138">
        <f t="shared" si="4"/>
        <v>4.9293460400920148</v>
      </c>
      <c r="D138" s="3">
        <f t="shared" si="5"/>
        <v>39600</v>
      </c>
    </row>
    <row r="139" spans="1:4" ht="20" x14ac:dyDescent="0.2">
      <c r="A139" s="16" t="s">
        <v>169</v>
      </c>
      <c r="B139" s="17">
        <v>30.43</v>
      </c>
      <c r="C139">
        <f t="shared" si="4"/>
        <v>-2.0598648213710993</v>
      </c>
      <c r="D139" s="3">
        <f t="shared" si="5"/>
        <v>39569</v>
      </c>
    </row>
    <row r="140" spans="1:4" ht="20" x14ac:dyDescent="0.2">
      <c r="A140" s="16" t="s">
        <v>170</v>
      </c>
      <c r="B140" s="17">
        <v>31.07</v>
      </c>
      <c r="C140">
        <f t="shared" si="4"/>
        <v>1.4033942558746726</v>
      </c>
      <c r="D140" s="3">
        <f t="shared" si="5"/>
        <v>39539</v>
      </c>
    </row>
    <row r="141" spans="1:4" ht="20" x14ac:dyDescent="0.2">
      <c r="A141" s="16" t="s">
        <v>171</v>
      </c>
      <c r="B141" s="17">
        <v>30.64</v>
      </c>
      <c r="C141">
        <f t="shared" si="4"/>
        <v>8.652482269503551</v>
      </c>
      <c r="D141" s="3">
        <f t="shared" si="5"/>
        <v>39508</v>
      </c>
    </row>
    <row r="142" spans="1:4" ht="20" x14ac:dyDescent="0.2">
      <c r="A142" s="16" t="s">
        <v>172</v>
      </c>
      <c r="B142" s="17">
        <v>28.2</v>
      </c>
      <c r="C142">
        <f t="shared" si="4"/>
        <v>0.49893086243763568</v>
      </c>
      <c r="D142" s="3">
        <f t="shared" si="5"/>
        <v>39479</v>
      </c>
    </row>
    <row r="143" spans="1:4" ht="20" x14ac:dyDescent="0.2">
      <c r="A143" s="16" t="s">
        <v>173</v>
      </c>
      <c r="B143" s="17">
        <v>28.06</v>
      </c>
      <c r="C143">
        <f t="shared" si="4"/>
        <v>21.471861471861459</v>
      </c>
      <c r="D143" s="3">
        <f t="shared" si="5"/>
        <v>39448</v>
      </c>
    </row>
    <row r="144" spans="1:4" ht="20" x14ac:dyDescent="0.2">
      <c r="A144" s="16" t="s">
        <v>174</v>
      </c>
      <c r="B144" s="17">
        <v>23.1</v>
      </c>
      <c r="C144">
        <f t="shared" si="4"/>
        <v>-24.951267056530213</v>
      </c>
      <c r="D144" s="3">
        <f t="shared" si="5"/>
        <v>39417</v>
      </c>
    </row>
    <row r="145" spans="1:4" ht="20" x14ac:dyDescent="0.2">
      <c r="A145" s="16" t="s">
        <v>175</v>
      </c>
      <c r="B145" s="17">
        <v>30.78</v>
      </c>
      <c r="C145">
        <f t="shared" si="4"/>
        <v>-6.727272727272724</v>
      </c>
      <c r="D145" s="3">
        <f t="shared" si="5"/>
        <v>39387</v>
      </c>
    </row>
    <row r="146" spans="1:4" ht="20" x14ac:dyDescent="0.2">
      <c r="A146" s="16" t="s">
        <v>176</v>
      </c>
      <c r="B146" s="18">
        <v>33</v>
      </c>
      <c r="C146">
        <f t="shared" si="4"/>
        <v>-7.4333800841514694</v>
      </c>
      <c r="D146" s="3">
        <f t="shared" si="5"/>
        <v>39356</v>
      </c>
    </row>
    <row r="147" spans="1:4" ht="20" x14ac:dyDescent="0.2">
      <c r="A147" s="16" t="s">
        <v>177</v>
      </c>
      <c r="B147" s="17">
        <v>35.65</v>
      </c>
      <c r="C147">
        <f t="shared" si="4"/>
        <v>11.059190031152639</v>
      </c>
      <c r="D147" s="3">
        <f t="shared" si="5"/>
        <v>39326</v>
      </c>
    </row>
    <row r="148" spans="1:4" ht="20" x14ac:dyDescent="0.2">
      <c r="A148" s="16" t="s">
        <v>178</v>
      </c>
      <c r="B148" s="17">
        <v>32.1</v>
      </c>
      <c r="C148">
        <f t="shared" si="4"/>
        <v>6.0105680317040955</v>
      </c>
      <c r="D148" s="3">
        <f t="shared" si="5"/>
        <v>39295</v>
      </c>
    </row>
    <row r="149" spans="1:4" ht="20" x14ac:dyDescent="0.2">
      <c r="A149" s="16" t="s">
        <v>179</v>
      </c>
      <c r="B149" s="17">
        <v>30.28</v>
      </c>
      <c r="C149">
        <f t="shared" si="4"/>
        <v>5.6156260899895338</v>
      </c>
      <c r="D149" s="3">
        <f t="shared" si="5"/>
        <v>39264</v>
      </c>
    </row>
    <row r="150" spans="1:4" ht="20" x14ac:dyDescent="0.2">
      <c r="A150" s="16" t="s">
        <v>180</v>
      </c>
      <c r="B150" s="17">
        <v>28.67</v>
      </c>
      <c r="C150">
        <f t="shared" si="4"/>
        <v>-6.307189542483659</v>
      </c>
      <c r="D150" s="3">
        <f t="shared" si="5"/>
        <v>39234</v>
      </c>
    </row>
    <row r="151" spans="1:4" ht="20" x14ac:dyDescent="0.2">
      <c r="A151" s="16" t="s">
        <v>181</v>
      </c>
      <c r="B151" s="17">
        <v>30.6</v>
      </c>
      <c r="C151">
        <f t="shared" si="4"/>
        <v>6.5402223675615198E-2</v>
      </c>
      <c r="D151" s="3">
        <f t="shared" si="5"/>
        <v>39203</v>
      </c>
    </row>
    <row r="152" spans="1:4" ht="20" x14ac:dyDescent="0.2">
      <c r="A152" s="16" t="s">
        <v>182</v>
      </c>
      <c r="B152" s="17">
        <v>30.58</v>
      </c>
      <c r="C152">
        <f t="shared" si="4"/>
        <v>16.584064048799075</v>
      </c>
      <c r="D152" s="3">
        <f t="shared" si="5"/>
        <v>39173</v>
      </c>
    </row>
    <row r="153" spans="1:4" ht="20" x14ac:dyDescent="0.2">
      <c r="A153" s="16" t="s">
        <v>183</v>
      </c>
      <c r="B153" s="17">
        <v>26.23</v>
      </c>
      <c r="C153">
        <f t="shared" si="4"/>
        <v>-1.5759849906191301</v>
      </c>
      <c r="D153" s="3">
        <f t="shared" si="5"/>
        <v>39142</v>
      </c>
    </row>
    <row r="154" spans="1:4" ht="20" x14ac:dyDescent="0.2">
      <c r="A154" s="16" t="s">
        <v>184</v>
      </c>
      <c r="B154" s="17">
        <v>26.65</v>
      </c>
      <c r="C154">
        <f t="shared" si="4"/>
        <v>-0.70789865871833557</v>
      </c>
      <c r="D154" s="3">
        <f t="shared" si="5"/>
        <v>39114</v>
      </c>
    </row>
    <row r="155" spans="1:4" ht="20" x14ac:dyDescent="0.2">
      <c r="A155" s="16" t="s">
        <v>185</v>
      </c>
      <c r="B155" s="17">
        <v>26.84</v>
      </c>
      <c r="C155">
        <f t="shared" si="4"/>
        <v>-6.6759388038943035</v>
      </c>
      <c r="D155" s="3">
        <f t="shared" si="5"/>
        <v>39083</v>
      </c>
    </row>
    <row r="156" spans="1:4" ht="20" x14ac:dyDescent="0.2">
      <c r="A156" s="16" t="s">
        <v>186</v>
      </c>
      <c r="B156" s="17">
        <v>28.76</v>
      </c>
      <c r="C156">
        <f t="shared" si="4"/>
        <v>3.2304379038047455</v>
      </c>
      <c r="D156" s="3">
        <f t="shared" si="5"/>
        <v>39052</v>
      </c>
    </row>
    <row r="157" spans="1:4" ht="20" x14ac:dyDescent="0.2">
      <c r="A157" s="16" t="s">
        <v>187</v>
      </c>
      <c r="B157" s="17">
        <v>27.86</v>
      </c>
      <c r="C157">
        <f t="shared" si="4"/>
        <v>4.266467065868266</v>
      </c>
      <c r="D157" s="3">
        <f t="shared" si="5"/>
        <v>39022</v>
      </c>
    </row>
    <row r="158" spans="1:4" ht="20" x14ac:dyDescent="0.2">
      <c r="A158" s="16" t="s">
        <v>188</v>
      </c>
      <c r="B158" s="17">
        <v>26.72</v>
      </c>
      <c r="C158">
        <f t="shared" si="4"/>
        <v>23.418013856812934</v>
      </c>
      <c r="D158" s="3">
        <f t="shared" si="5"/>
        <v>38991</v>
      </c>
    </row>
    <row r="159" spans="1:4" ht="20" x14ac:dyDescent="0.2">
      <c r="A159" s="16" t="s">
        <v>189</v>
      </c>
      <c r="B159" s="17">
        <v>21.65</v>
      </c>
      <c r="C159">
        <f t="shared" si="4"/>
        <v>6.440511307767939</v>
      </c>
      <c r="D159" s="3">
        <f t="shared" si="5"/>
        <v>38961</v>
      </c>
    </row>
    <row r="160" spans="1:4" ht="20" x14ac:dyDescent="0.2">
      <c r="A160" s="16" t="s">
        <v>190</v>
      </c>
      <c r="B160" s="17">
        <v>20.34</v>
      </c>
      <c r="C160">
        <f t="shared" si="4"/>
        <v>-15.03759398496241</v>
      </c>
      <c r="D160" s="3">
        <f t="shared" si="5"/>
        <v>38930</v>
      </c>
    </row>
    <row r="161" spans="1:4" ht="20" x14ac:dyDescent="0.2">
      <c r="A161" s="16" t="s">
        <v>191</v>
      </c>
      <c r="B161" s="17">
        <v>23.94</v>
      </c>
      <c r="C161">
        <f t="shared" si="4"/>
        <v>0.92748735244520419</v>
      </c>
      <c r="D161" s="3">
        <f t="shared" si="5"/>
        <v>38899</v>
      </c>
    </row>
    <row r="162" spans="1:4" ht="20" x14ac:dyDescent="0.2">
      <c r="A162" s="16" t="s">
        <v>192</v>
      </c>
      <c r="B162" s="17">
        <v>23.72</v>
      </c>
      <c r="C162">
        <f t="shared" si="4"/>
        <v>14.478764478764479</v>
      </c>
      <c r="D162" s="3">
        <f t="shared" si="5"/>
        <v>38869</v>
      </c>
    </row>
    <row r="163" spans="1:4" ht="20" x14ac:dyDescent="0.2">
      <c r="A163" s="16" t="s">
        <v>193</v>
      </c>
      <c r="B163" s="17">
        <v>20.72</v>
      </c>
      <c r="C163">
        <f t="shared" si="4"/>
        <v>-1.7077798861480051</v>
      </c>
      <c r="D163" s="3">
        <f t="shared" si="5"/>
        <v>38838</v>
      </c>
    </row>
    <row r="164" spans="1:4" ht="20" x14ac:dyDescent="0.2">
      <c r="A164" s="16" t="s">
        <v>194</v>
      </c>
      <c r="B164" s="17">
        <v>21.08</v>
      </c>
      <c r="C164">
        <f t="shared" si="4"/>
        <v>-4.6585255540479471</v>
      </c>
      <c r="D164" s="3">
        <f t="shared" si="5"/>
        <v>38808</v>
      </c>
    </row>
    <row r="165" spans="1:4" ht="20" x14ac:dyDescent="0.2">
      <c r="A165" s="16" t="s">
        <v>195</v>
      </c>
      <c r="B165" s="17">
        <v>22.11</v>
      </c>
      <c r="C165">
        <f t="shared" si="4"/>
        <v>16.368421052631575</v>
      </c>
      <c r="D165" s="3">
        <f t="shared" si="5"/>
        <v>38777</v>
      </c>
    </row>
    <row r="166" spans="1:4" ht="20" x14ac:dyDescent="0.2">
      <c r="A166" s="16" t="s">
        <v>196</v>
      </c>
      <c r="B166" s="18">
        <v>19</v>
      </c>
      <c r="C166">
        <f t="shared" si="4"/>
        <v>6.8015739179314272</v>
      </c>
      <c r="D166" s="3">
        <f t="shared" si="5"/>
        <v>38749</v>
      </c>
    </row>
    <row r="167" spans="1:4" ht="20" x14ac:dyDescent="0.2">
      <c r="A167" s="16" t="s">
        <v>197</v>
      </c>
      <c r="B167" s="17">
        <v>17.79</v>
      </c>
      <c r="C167">
        <f t="shared" si="4"/>
        <v>9.8148148148148149</v>
      </c>
      <c r="D167" s="3">
        <f t="shared" si="5"/>
        <v>38718</v>
      </c>
    </row>
    <row r="168" spans="1:4" ht="20" x14ac:dyDescent="0.2">
      <c r="A168" s="16" t="s">
        <v>198</v>
      </c>
      <c r="B168" s="17">
        <v>16.2</v>
      </c>
      <c r="C168">
        <f t="shared" si="4"/>
        <v>6.3690085357846282</v>
      </c>
      <c r="D168" s="3">
        <f t="shared" si="5"/>
        <v>38687</v>
      </c>
    </row>
    <row r="169" spans="1:4" ht="20" x14ac:dyDescent="0.2">
      <c r="A169" s="16" t="s">
        <v>199</v>
      </c>
      <c r="B169" s="17">
        <v>15.23</v>
      </c>
      <c r="C169">
        <f t="shared" si="4"/>
        <v>8.6305278174037152</v>
      </c>
      <c r="D169" s="3">
        <f t="shared" si="5"/>
        <v>38657</v>
      </c>
    </row>
    <row r="170" spans="1:4" ht="20" x14ac:dyDescent="0.2">
      <c r="A170" s="16" t="s">
        <v>200</v>
      </c>
      <c r="B170" s="17">
        <v>14.02</v>
      </c>
      <c r="C170">
        <f t="shared" si="4"/>
        <v>3.2400589101619994</v>
      </c>
      <c r="D170" s="3">
        <f t="shared" si="5"/>
        <v>38626</v>
      </c>
    </row>
    <row r="171" spans="1:4" ht="20" x14ac:dyDescent="0.2">
      <c r="A171" s="16" t="s">
        <v>201</v>
      </c>
      <c r="B171" s="17">
        <v>13.58</v>
      </c>
      <c r="C171">
        <f t="shared" si="4"/>
        <v>8.2071713147410303</v>
      </c>
      <c r="D171" s="3">
        <f t="shared" si="5"/>
        <v>38596</v>
      </c>
    </row>
    <row r="172" spans="1:4" ht="20" x14ac:dyDescent="0.2">
      <c r="A172" s="16" t="s">
        <v>202</v>
      </c>
      <c r="B172" s="17">
        <v>12.55</v>
      </c>
      <c r="C172">
        <f t="shared" si="4"/>
        <v>4.9331103678929749</v>
      </c>
      <c r="D172" s="3">
        <f t="shared" si="5"/>
        <v>38565</v>
      </c>
    </row>
    <row r="173" spans="1:4" ht="20" x14ac:dyDescent="0.2">
      <c r="A173" s="16" t="s">
        <v>203</v>
      </c>
      <c r="B173" s="17">
        <v>11.96</v>
      </c>
      <c r="C173">
        <f t="shared" si="4"/>
        <v>17.485265225933215</v>
      </c>
      <c r="D173" s="3">
        <f t="shared" si="5"/>
        <v>38534</v>
      </c>
    </row>
    <row r="174" spans="1:4" ht="20" x14ac:dyDescent="0.2">
      <c r="A174" s="16" t="s">
        <v>204</v>
      </c>
      <c r="B174" s="17">
        <v>10.18</v>
      </c>
      <c r="C174">
        <f t="shared" si="4"/>
        <v>-3.7807183364839352</v>
      </c>
      <c r="D174" s="3">
        <f t="shared" si="5"/>
        <v>38504</v>
      </c>
    </row>
    <row r="175" spans="1:4" ht="20" x14ac:dyDescent="0.2">
      <c r="A175" s="16" t="s">
        <v>205</v>
      </c>
      <c r="B175" s="17">
        <v>10.58</v>
      </c>
      <c r="C175">
        <f t="shared" si="4"/>
        <v>11.603375527426158</v>
      </c>
      <c r="D175" s="3">
        <f t="shared" si="5"/>
        <v>38473</v>
      </c>
    </row>
    <row r="176" spans="1:4" ht="20" x14ac:dyDescent="0.2">
      <c r="A176" s="16" t="s">
        <v>206</v>
      </c>
      <c r="B176" s="17">
        <v>9.48</v>
      </c>
      <c r="C176">
        <f t="shared" si="4"/>
        <v>11.398354876615754</v>
      </c>
      <c r="D176" s="3">
        <f t="shared" si="5"/>
        <v>38443</v>
      </c>
    </row>
    <row r="177" spans="1:4" ht="20" x14ac:dyDescent="0.2">
      <c r="A177" s="16" t="s">
        <v>207</v>
      </c>
      <c r="B177" s="17">
        <v>8.51</v>
      </c>
      <c r="C177">
        <f t="shared" si="4"/>
        <v>24.415204678362574</v>
      </c>
      <c r="D177" s="3">
        <f t="shared" si="5"/>
        <v>38412</v>
      </c>
    </row>
    <row r="178" spans="1:4" ht="20" x14ac:dyDescent="0.2">
      <c r="A178" s="16" t="s">
        <v>208</v>
      </c>
      <c r="B178" s="17">
        <v>6.84</v>
      </c>
      <c r="C178">
        <f t="shared" si="4"/>
        <v>0</v>
      </c>
      <c r="D178" s="3">
        <f t="shared" si="5"/>
        <v>38384</v>
      </c>
    </row>
    <row r="179" spans="1:4" ht="20" x14ac:dyDescent="0.2">
      <c r="A179" s="16" t="s">
        <v>209</v>
      </c>
      <c r="B179" s="17">
        <v>6.84</v>
      </c>
      <c r="C179">
        <f t="shared" si="4"/>
        <v>3.1674208144796374</v>
      </c>
      <c r="D179" s="3">
        <f t="shared" si="5"/>
        <v>38353</v>
      </c>
    </row>
    <row r="180" spans="1:4" ht="20" x14ac:dyDescent="0.2">
      <c r="A180" s="16" t="s">
        <v>210</v>
      </c>
      <c r="B180" s="17">
        <v>6.63</v>
      </c>
      <c r="C180">
        <f t="shared" si="4"/>
        <v>-3.3527696793002977</v>
      </c>
      <c r="D180" s="3">
        <f t="shared" si="5"/>
        <v>38322</v>
      </c>
    </row>
    <row r="181" spans="1:4" ht="20" x14ac:dyDescent="0.2">
      <c r="A181" s="16" t="s">
        <v>211</v>
      </c>
      <c r="B181" s="17">
        <v>6.86</v>
      </c>
      <c r="C181">
        <f t="shared" si="4"/>
        <v>-7.2972972972972974</v>
      </c>
      <c r="D181" s="3">
        <f t="shared" si="5"/>
        <v>38292</v>
      </c>
    </row>
    <row r="182" spans="1:4" ht="20" x14ac:dyDescent="0.2">
      <c r="A182" s="16" t="s">
        <v>212</v>
      </c>
      <c r="B182" s="17">
        <v>7.4</v>
      </c>
      <c r="C182">
        <f t="shared" si="4"/>
        <v>1.6483516483516498</v>
      </c>
      <c r="D182" s="3">
        <f t="shared" si="5"/>
        <v>38261</v>
      </c>
    </row>
    <row r="183" spans="1:4" ht="20" x14ac:dyDescent="0.2">
      <c r="A183" s="16" t="s">
        <v>213</v>
      </c>
      <c r="B183" s="17">
        <v>7.28</v>
      </c>
      <c r="C183">
        <f t="shared" si="4"/>
        <v>2.6798307475317404</v>
      </c>
      <c r="D183" s="3">
        <f t="shared" si="5"/>
        <v>38231</v>
      </c>
    </row>
    <row r="184" spans="1:4" ht="20" x14ac:dyDescent="0.2">
      <c r="A184" s="16" t="s">
        <v>214</v>
      </c>
      <c r="B184" s="17">
        <v>7.09</v>
      </c>
      <c r="C184">
        <f t="shared" si="4"/>
        <v>6.2968515742128925</v>
      </c>
      <c r="D184" s="3">
        <f t="shared" si="5"/>
        <v>38200</v>
      </c>
    </row>
    <row r="185" spans="1:4" ht="20" x14ac:dyDescent="0.2">
      <c r="A185" s="16" t="s">
        <v>215</v>
      </c>
      <c r="B185" s="17">
        <v>6.67</v>
      </c>
      <c r="C185">
        <f t="shared" si="4"/>
        <v>-6.8435754189944165</v>
      </c>
      <c r="D185" s="3">
        <f t="shared" si="5"/>
        <v>38169</v>
      </c>
    </row>
    <row r="186" spans="1:4" ht="20" x14ac:dyDescent="0.2">
      <c r="A186" s="16" t="s">
        <v>216</v>
      </c>
      <c r="B186" s="17">
        <v>7.16</v>
      </c>
      <c r="C186">
        <f t="shared" si="4"/>
        <v>0.56179775280898925</v>
      </c>
      <c r="D186" s="3">
        <f t="shared" si="5"/>
        <v>38139</v>
      </c>
    </row>
    <row r="187" spans="1:4" ht="20" x14ac:dyDescent="0.2">
      <c r="A187" s="16" t="s">
        <v>217</v>
      </c>
      <c r="B187" s="17">
        <v>7.12</v>
      </c>
      <c r="C187">
        <f t="shared" si="4"/>
        <v>10.387596899224805</v>
      </c>
      <c r="D187" s="3">
        <f t="shared" si="5"/>
        <v>38108</v>
      </c>
    </row>
    <row r="188" spans="1:4" ht="20" x14ac:dyDescent="0.2">
      <c r="A188" s="16" t="s">
        <v>218</v>
      </c>
      <c r="B188" s="17">
        <v>6.45</v>
      </c>
      <c r="C188">
        <f t="shared" si="4"/>
        <v>8.2214765100671183</v>
      </c>
      <c r="D188" s="3">
        <f t="shared" si="5"/>
        <v>38078</v>
      </c>
    </row>
    <row r="189" spans="1:4" ht="20" x14ac:dyDescent="0.2">
      <c r="A189" s="16" t="s">
        <v>219</v>
      </c>
      <c r="B189" s="17">
        <v>5.96</v>
      </c>
      <c r="C189">
        <f t="shared" si="4"/>
        <v>16.406249999999996</v>
      </c>
      <c r="D189" s="3">
        <f t="shared" si="5"/>
        <v>38047</v>
      </c>
    </row>
    <row r="190" spans="1:4" ht="20" x14ac:dyDescent="0.2">
      <c r="A190" s="16" t="s">
        <v>220</v>
      </c>
      <c r="B190" s="17">
        <v>5.12</v>
      </c>
      <c r="C190">
        <f t="shared" si="4"/>
        <v>1.1857707509881523</v>
      </c>
      <c r="D190" s="3">
        <f t="shared" si="5"/>
        <v>38018</v>
      </c>
    </row>
    <row r="191" spans="1:4" ht="20" x14ac:dyDescent="0.2">
      <c r="A191" s="16" t="s">
        <v>221</v>
      </c>
      <c r="B191" s="17">
        <v>5.0599999999999996</v>
      </c>
      <c r="C191">
        <f t="shared" si="4"/>
        <v>-9.8039215686274623</v>
      </c>
      <c r="D191" s="3">
        <f t="shared" si="5"/>
        <v>37987</v>
      </c>
    </row>
    <row r="192" spans="1:4" ht="20" x14ac:dyDescent="0.2">
      <c r="A192" s="16" t="s">
        <v>222</v>
      </c>
      <c r="B192" s="17">
        <v>5.61</v>
      </c>
      <c r="C192">
        <f t="shared" si="4"/>
        <v>-1.9230769230769131</v>
      </c>
      <c r="D192" s="3">
        <f t="shared" si="5"/>
        <v>37956</v>
      </c>
    </row>
    <row r="193" spans="1:4" ht="20" x14ac:dyDescent="0.2">
      <c r="A193" s="16" t="s">
        <v>223</v>
      </c>
      <c r="B193" s="17">
        <v>5.72</v>
      </c>
      <c r="C193">
        <f t="shared" si="4"/>
        <v>9.7888675623800339</v>
      </c>
      <c r="D193" s="3">
        <f t="shared" si="5"/>
        <v>37926</v>
      </c>
    </row>
    <row r="194" spans="1:4" ht="20" x14ac:dyDescent="0.2">
      <c r="A194" s="16" t="s">
        <v>224</v>
      </c>
      <c r="B194" s="17">
        <v>5.21</v>
      </c>
      <c r="C194">
        <f t="shared" si="4"/>
        <v>-3.6968576709796706</v>
      </c>
      <c r="D194" s="3">
        <f t="shared" si="5"/>
        <v>37895</v>
      </c>
    </row>
    <row r="195" spans="1:4" ht="20" x14ac:dyDescent="0.2">
      <c r="A195" s="16" t="s">
        <v>225</v>
      </c>
      <c r="B195" s="17">
        <v>5.41</v>
      </c>
      <c r="C195">
        <f t="shared" ref="C195:C258" si="6">100*(B195-B196)/B196</f>
        <v>12.474012474012486</v>
      </c>
      <c r="D195" s="3">
        <f t="shared" si="5"/>
        <v>37865</v>
      </c>
    </row>
    <row r="196" spans="1:4" ht="20" x14ac:dyDescent="0.2">
      <c r="A196" s="16" t="s">
        <v>226</v>
      </c>
      <c r="B196" s="17">
        <v>4.8099999999999996</v>
      </c>
      <c r="C196">
        <f t="shared" si="6"/>
        <v>5.2516411378555645</v>
      </c>
      <c r="D196" s="3">
        <f t="shared" ref="D196:D259" si="7">EDATE(D195,-1)</f>
        <v>37834</v>
      </c>
    </row>
    <row r="197" spans="1:4" ht="20" x14ac:dyDescent="0.2">
      <c r="A197" s="16" t="s">
        <v>227</v>
      </c>
      <c r="B197" s="17">
        <v>4.57</v>
      </c>
      <c r="C197">
        <f t="shared" si="6"/>
        <v>20.580474934036946</v>
      </c>
      <c r="D197" s="3">
        <f t="shared" si="7"/>
        <v>37803</v>
      </c>
    </row>
    <row r="198" spans="1:4" ht="20" x14ac:dyDescent="0.2">
      <c r="A198" s="16" t="s">
        <v>228</v>
      </c>
      <c r="B198" s="17">
        <v>3.79</v>
      </c>
      <c r="C198">
        <f t="shared" si="6"/>
        <v>-3.8071065989847694</v>
      </c>
      <c r="D198" s="3">
        <f t="shared" si="7"/>
        <v>37773</v>
      </c>
    </row>
    <row r="199" spans="1:4" ht="20" x14ac:dyDescent="0.2">
      <c r="A199" s="16" t="s">
        <v>229</v>
      </c>
      <c r="B199" s="17">
        <v>3.94</v>
      </c>
      <c r="C199">
        <f t="shared" si="6"/>
        <v>18.318318318318315</v>
      </c>
      <c r="D199" s="3">
        <f t="shared" si="7"/>
        <v>37742</v>
      </c>
    </row>
    <row r="200" spans="1:4" ht="20" x14ac:dyDescent="0.2">
      <c r="A200" s="16" t="s">
        <v>230</v>
      </c>
      <c r="B200" s="17">
        <v>3.33</v>
      </c>
      <c r="C200">
        <f t="shared" si="6"/>
        <v>2.1472392638036899</v>
      </c>
      <c r="D200" s="3">
        <f t="shared" si="7"/>
        <v>37712</v>
      </c>
    </row>
    <row r="201" spans="1:4" ht="20" x14ac:dyDescent="0.2">
      <c r="A201" s="16" t="s">
        <v>231</v>
      </c>
      <c r="B201" s="17">
        <v>3.26</v>
      </c>
      <c r="C201">
        <f t="shared" si="6"/>
        <v>18.978102189781005</v>
      </c>
      <c r="D201" s="3">
        <f t="shared" si="7"/>
        <v>37681</v>
      </c>
    </row>
    <row r="202" spans="1:4" ht="20" x14ac:dyDescent="0.2">
      <c r="A202" s="16" t="s">
        <v>232</v>
      </c>
      <c r="B202" s="17">
        <v>2.74</v>
      </c>
      <c r="C202">
        <f t="shared" si="6"/>
        <v>-2.142857142857129</v>
      </c>
      <c r="D202" s="3">
        <f t="shared" si="7"/>
        <v>37653</v>
      </c>
    </row>
    <row r="203" spans="1:4" ht="20" x14ac:dyDescent="0.2">
      <c r="A203" s="16" t="s">
        <v>233</v>
      </c>
      <c r="B203" s="17">
        <v>2.8</v>
      </c>
      <c r="C203">
        <f t="shared" si="6"/>
        <v>4.4776119402984946</v>
      </c>
      <c r="D203" s="3">
        <f t="shared" si="7"/>
        <v>37622</v>
      </c>
    </row>
    <row r="204" spans="1:4" ht="20" x14ac:dyDescent="0.2">
      <c r="A204" s="16" t="s">
        <v>234</v>
      </c>
      <c r="B204" s="17">
        <v>2.68</v>
      </c>
      <c r="C204">
        <f t="shared" si="6"/>
        <v>-12.987012987012985</v>
      </c>
      <c r="D204" s="3">
        <f t="shared" si="7"/>
        <v>37591</v>
      </c>
    </row>
    <row r="205" spans="1:4" ht="20" x14ac:dyDescent="0.2">
      <c r="A205" s="16" t="s">
        <v>235</v>
      </c>
      <c r="B205" s="17">
        <v>3.08</v>
      </c>
      <c r="C205">
        <f t="shared" si="6"/>
        <v>11.191335740072205</v>
      </c>
      <c r="D205" s="3">
        <f t="shared" si="7"/>
        <v>37561</v>
      </c>
    </row>
    <row r="206" spans="1:4" ht="20" x14ac:dyDescent="0.2">
      <c r="A206" s="16" t="s">
        <v>236</v>
      </c>
      <c r="B206" s="17">
        <v>2.77</v>
      </c>
      <c r="C206">
        <f t="shared" si="6"/>
        <v>31.904761904761905</v>
      </c>
      <c r="D206" s="3">
        <f t="shared" si="7"/>
        <v>37530</v>
      </c>
    </row>
    <row r="207" spans="1:4" ht="20" x14ac:dyDescent="0.2">
      <c r="A207" s="16" t="s">
        <v>237</v>
      </c>
      <c r="B207" s="17">
        <v>2.1</v>
      </c>
      <c r="C207">
        <f t="shared" si="6"/>
        <v>-3.2258064516128959</v>
      </c>
      <c r="D207" s="3">
        <f t="shared" si="7"/>
        <v>37500</v>
      </c>
    </row>
    <row r="208" spans="1:4" ht="20" x14ac:dyDescent="0.2">
      <c r="A208" s="16" t="s">
        <v>238</v>
      </c>
      <c r="B208" s="17">
        <v>2.17</v>
      </c>
      <c r="C208">
        <f t="shared" si="6"/>
        <v>0.93023255813953576</v>
      </c>
      <c r="D208" s="3">
        <f t="shared" si="7"/>
        <v>37469</v>
      </c>
    </row>
    <row r="209" spans="1:4" ht="20" x14ac:dyDescent="0.2">
      <c r="A209" s="16" t="s">
        <v>239</v>
      </c>
      <c r="B209" s="17">
        <v>2.15</v>
      </c>
      <c r="C209">
        <f t="shared" si="6"/>
        <v>12.565445026178011</v>
      </c>
      <c r="D209" s="3">
        <f t="shared" si="7"/>
        <v>37438</v>
      </c>
    </row>
    <row r="210" spans="1:4" ht="20" x14ac:dyDescent="0.2">
      <c r="A210" s="16" t="s">
        <v>240</v>
      </c>
      <c r="B210" s="17">
        <v>1.91</v>
      </c>
      <c r="C210">
        <f t="shared" si="6"/>
        <v>-15.111111111111114</v>
      </c>
      <c r="D210" s="3">
        <f t="shared" si="7"/>
        <v>37408</v>
      </c>
    </row>
    <row r="211" spans="1:4" ht="20" x14ac:dyDescent="0.2">
      <c r="A211" s="16" t="s">
        <v>241</v>
      </c>
      <c r="B211" s="17">
        <v>2.25</v>
      </c>
      <c r="C211">
        <f t="shared" si="6"/>
        <v>-8.906882591093126</v>
      </c>
      <c r="D211" s="3">
        <f t="shared" si="7"/>
        <v>37377</v>
      </c>
    </row>
    <row r="212" spans="1:4" ht="20" x14ac:dyDescent="0.2">
      <c r="A212" s="16" t="s">
        <v>242</v>
      </c>
      <c r="B212" s="17">
        <v>2.4700000000000002</v>
      </c>
      <c r="C212">
        <f t="shared" si="6"/>
        <v>-20.064724919093841</v>
      </c>
      <c r="D212" s="3">
        <f t="shared" si="7"/>
        <v>37347</v>
      </c>
    </row>
    <row r="213" spans="1:4" ht="20" x14ac:dyDescent="0.2">
      <c r="A213" s="16" t="s">
        <v>243</v>
      </c>
      <c r="B213" s="17">
        <v>3.09</v>
      </c>
      <c r="C213">
        <f t="shared" si="6"/>
        <v>-5.2147239263803664</v>
      </c>
      <c r="D213" s="3">
        <f t="shared" si="7"/>
        <v>37316</v>
      </c>
    </row>
    <row r="214" spans="1:4" ht="20" x14ac:dyDescent="0.2">
      <c r="A214" s="16" t="s">
        <v>244</v>
      </c>
      <c r="B214" s="17">
        <v>3.26</v>
      </c>
      <c r="C214">
        <f t="shared" si="6"/>
        <v>-4.9562682215743541</v>
      </c>
      <c r="D214" s="3">
        <f t="shared" si="7"/>
        <v>37288</v>
      </c>
    </row>
    <row r="215" spans="1:4" ht="20" x14ac:dyDescent="0.2">
      <c r="A215" s="16" t="s">
        <v>245</v>
      </c>
      <c r="B215" s="17">
        <v>3.43</v>
      </c>
      <c r="C215">
        <f t="shared" si="6"/>
        <v>-14.035087719298247</v>
      </c>
      <c r="D215" s="3">
        <f t="shared" si="7"/>
        <v>37257</v>
      </c>
    </row>
    <row r="216" spans="1:4" ht="20" x14ac:dyDescent="0.2">
      <c r="A216" s="16" t="s">
        <v>246</v>
      </c>
      <c r="B216" s="17">
        <v>3.99</v>
      </c>
      <c r="C216">
        <f t="shared" si="6"/>
        <v>-8.4862385321100948</v>
      </c>
      <c r="D216" s="3">
        <f t="shared" si="7"/>
        <v>37226</v>
      </c>
    </row>
    <row r="217" spans="1:4" ht="20" x14ac:dyDescent="0.2">
      <c r="A217" s="16" t="s">
        <v>247</v>
      </c>
      <c r="B217" s="17">
        <v>4.3600000000000003</v>
      </c>
      <c r="C217">
        <f t="shared" si="6"/>
        <v>5.8252427184466073</v>
      </c>
      <c r="D217" s="3">
        <f t="shared" si="7"/>
        <v>37196</v>
      </c>
    </row>
    <row r="218" spans="1:4" ht="20" x14ac:dyDescent="0.2">
      <c r="A218" s="16" t="s">
        <v>248</v>
      </c>
      <c r="B218" s="17">
        <v>4.12</v>
      </c>
      <c r="C218">
        <f t="shared" si="6"/>
        <v>24.848484848484858</v>
      </c>
      <c r="D218" s="3">
        <f t="shared" si="7"/>
        <v>37165</v>
      </c>
    </row>
    <row r="219" spans="1:4" ht="20" x14ac:dyDescent="0.2">
      <c r="A219" s="16" t="s">
        <v>249</v>
      </c>
      <c r="B219" s="17">
        <v>3.3</v>
      </c>
      <c r="C219">
        <f t="shared" si="6"/>
        <v>-5.172413793103452</v>
      </c>
      <c r="D219" s="3">
        <f t="shared" si="7"/>
        <v>37135</v>
      </c>
    </row>
    <row r="220" spans="1:4" ht="20" x14ac:dyDescent="0.2">
      <c r="A220" s="16" t="s">
        <v>250</v>
      </c>
      <c r="B220" s="17">
        <v>3.48</v>
      </c>
      <c r="C220">
        <f t="shared" si="6"/>
        <v>6.422018348623852</v>
      </c>
      <c r="D220" s="3">
        <f t="shared" si="7"/>
        <v>37104</v>
      </c>
    </row>
    <row r="221" spans="1:4" ht="20" x14ac:dyDescent="0.2">
      <c r="A221" s="16" t="s">
        <v>251</v>
      </c>
      <c r="B221" s="17">
        <v>3.27</v>
      </c>
      <c r="C221">
        <f t="shared" si="6"/>
        <v>-9.4182825484764514</v>
      </c>
      <c r="D221" s="3">
        <f t="shared" si="7"/>
        <v>37073</v>
      </c>
    </row>
    <row r="222" spans="1:4" ht="20" x14ac:dyDescent="0.2">
      <c r="A222" s="16" t="s">
        <v>252</v>
      </c>
      <c r="B222" s="17">
        <v>3.61</v>
      </c>
      <c r="C222">
        <f t="shared" si="6"/>
        <v>1.6901408450704241</v>
      </c>
      <c r="D222" s="3">
        <f t="shared" si="7"/>
        <v>37043</v>
      </c>
    </row>
    <row r="223" spans="1:4" ht="20" x14ac:dyDescent="0.2">
      <c r="A223" s="16" t="s">
        <v>253</v>
      </c>
      <c r="B223" s="17">
        <v>3.55</v>
      </c>
      <c r="C223">
        <f t="shared" si="6"/>
        <v>60.633484162895925</v>
      </c>
      <c r="D223" s="3">
        <f t="shared" si="7"/>
        <v>37012</v>
      </c>
    </row>
    <row r="224" spans="1:4" ht="20" x14ac:dyDescent="0.2">
      <c r="A224" s="16" t="s">
        <v>254</v>
      </c>
      <c r="B224" s="17">
        <v>2.21</v>
      </c>
      <c r="C224">
        <f t="shared" si="6"/>
        <v>-29.166666666666671</v>
      </c>
      <c r="D224" s="3">
        <f t="shared" si="7"/>
        <v>36982</v>
      </c>
    </row>
    <row r="225" spans="1:4" ht="20" x14ac:dyDescent="0.2">
      <c r="A225" s="16" t="s">
        <v>255</v>
      </c>
      <c r="B225" s="17">
        <v>3.12</v>
      </c>
      <c r="C225">
        <f t="shared" si="6"/>
        <v>-4.5871559633027497</v>
      </c>
      <c r="D225" s="3">
        <f t="shared" si="7"/>
        <v>36951</v>
      </c>
    </row>
    <row r="226" spans="1:4" ht="20" x14ac:dyDescent="0.2">
      <c r="A226" s="16" t="s">
        <v>256</v>
      </c>
      <c r="B226" s="17">
        <v>3.27</v>
      </c>
      <c r="C226">
        <f t="shared" si="6"/>
        <v>-5.7636887608069216</v>
      </c>
      <c r="D226" s="3">
        <f t="shared" si="7"/>
        <v>36923</v>
      </c>
    </row>
    <row r="227" spans="1:4" ht="20" x14ac:dyDescent="0.2">
      <c r="A227" s="16" t="s">
        <v>257</v>
      </c>
      <c r="B227" s="17">
        <v>3.47</v>
      </c>
      <c r="C227">
        <f t="shared" si="6"/>
        <v>-14.532019704433486</v>
      </c>
      <c r="D227" s="3">
        <f t="shared" si="7"/>
        <v>36892</v>
      </c>
    </row>
    <row r="228" spans="1:4" ht="20" x14ac:dyDescent="0.2">
      <c r="A228" s="16" t="s">
        <v>258</v>
      </c>
      <c r="B228" s="17">
        <v>4.0599999999999996</v>
      </c>
      <c r="C228">
        <f t="shared" si="6"/>
        <v>-43.057503506311363</v>
      </c>
      <c r="D228" s="3">
        <f t="shared" si="7"/>
        <v>36861</v>
      </c>
    </row>
    <row r="229" spans="1:4" ht="20" x14ac:dyDescent="0.2">
      <c r="A229" s="16" t="s">
        <v>259</v>
      </c>
      <c r="B229" s="17">
        <v>7.13</v>
      </c>
      <c r="C229">
        <f t="shared" si="6"/>
        <v>-11.428571428571438</v>
      </c>
      <c r="D229" s="3">
        <f t="shared" si="7"/>
        <v>36831</v>
      </c>
    </row>
    <row r="230" spans="1:4" ht="20" x14ac:dyDescent="0.2">
      <c r="A230" s="16" t="s">
        <v>260</v>
      </c>
      <c r="B230" s="17">
        <v>8.0500000000000007</v>
      </c>
      <c r="C230">
        <f t="shared" si="6"/>
        <v>8.1989247311827995</v>
      </c>
      <c r="D230" s="3">
        <f t="shared" si="7"/>
        <v>36800</v>
      </c>
    </row>
    <row r="231" spans="1:4" ht="20" x14ac:dyDescent="0.2">
      <c r="A231" s="16" t="s">
        <v>261</v>
      </c>
      <c r="B231" s="17">
        <v>7.44</v>
      </c>
      <c r="C231">
        <f t="shared" si="6"/>
        <v>-19.567567567567565</v>
      </c>
      <c r="D231" s="3">
        <f t="shared" si="7"/>
        <v>36770</v>
      </c>
    </row>
    <row r="232" spans="1:4" ht="20" x14ac:dyDescent="0.2">
      <c r="A232" s="16" t="s">
        <v>262</v>
      </c>
      <c r="B232" s="17">
        <v>9.25</v>
      </c>
      <c r="C232">
        <f t="shared" si="6"/>
        <v>42.526964560862865</v>
      </c>
      <c r="D232" s="3">
        <f t="shared" si="7"/>
        <v>36739</v>
      </c>
    </row>
    <row r="233" spans="1:4" ht="20" x14ac:dyDescent="0.2">
      <c r="A233" s="16" t="s">
        <v>263</v>
      </c>
      <c r="B233" s="17">
        <v>6.49</v>
      </c>
      <c r="C233">
        <f t="shared" si="6"/>
        <v>-11.820652173913045</v>
      </c>
      <c r="D233" s="3">
        <f t="shared" si="7"/>
        <v>36708</v>
      </c>
    </row>
    <row r="234" spans="1:4" ht="20" x14ac:dyDescent="0.2">
      <c r="A234" s="16" t="s">
        <v>264</v>
      </c>
      <c r="B234" s="17">
        <v>7.36</v>
      </c>
      <c r="C234">
        <f t="shared" si="6"/>
        <v>60.348583877995658</v>
      </c>
      <c r="D234" s="3">
        <f t="shared" si="7"/>
        <v>36678</v>
      </c>
    </row>
    <row r="235" spans="1:4" ht="20" x14ac:dyDescent="0.2">
      <c r="A235" s="16" t="s">
        <v>265</v>
      </c>
      <c r="B235" s="17">
        <v>4.59</v>
      </c>
      <c r="C235">
        <f t="shared" si="6"/>
        <v>-21.938775510204081</v>
      </c>
      <c r="D235" s="3">
        <f t="shared" si="7"/>
        <v>36647</v>
      </c>
    </row>
    <row r="236" spans="1:4" ht="20" x14ac:dyDescent="0.2">
      <c r="A236" s="16" t="s">
        <v>266</v>
      </c>
      <c r="B236" s="17">
        <v>5.88</v>
      </c>
      <c r="C236">
        <f t="shared" si="6"/>
        <v>41.686746987951793</v>
      </c>
      <c r="D236" s="3">
        <f t="shared" si="7"/>
        <v>36617</v>
      </c>
    </row>
    <row r="237" spans="1:4" ht="20" x14ac:dyDescent="0.2">
      <c r="A237" s="16" t="s">
        <v>267</v>
      </c>
      <c r="B237" s="17">
        <v>4.1500000000000004</v>
      </c>
      <c r="C237">
        <f t="shared" si="6"/>
        <v>-39.855072463768117</v>
      </c>
      <c r="D237" s="3">
        <f t="shared" si="7"/>
        <v>36586</v>
      </c>
    </row>
    <row r="238" spans="1:4" ht="20" x14ac:dyDescent="0.2">
      <c r="A238" s="16" t="s">
        <v>268</v>
      </c>
      <c r="B238" s="17">
        <v>6.9</v>
      </c>
      <c r="C238">
        <f t="shared" si="6"/>
        <v>137.11340206185565</v>
      </c>
      <c r="D238" s="3">
        <f t="shared" si="7"/>
        <v>36557</v>
      </c>
    </row>
    <row r="239" spans="1:4" ht="20" x14ac:dyDescent="0.2">
      <c r="A239" s="16" t="s">
        <v>269</v>
      </c>
      <c r="B239" s="17">
        <v>2.91</v>
      </c>
      <c r="C239">
        <f t="shared" si="6"/>
        <v>-0.34246575342465024</v>
      </c>
      <c r="D239" s="3">
        <f t="shared" si="7"/>
        <v>36526</v>
      </c>
    </row>
    <row r="240" spans="1:4" ht="20" x14ac:dyDescent="0.2">
      <c r="A240" s="16" t="s">
        <v>270</v>
      </c>
      <c r="B240" s="17">
        <v>2.92</v>
      </c>
      <c r="C240">
        <f t="shared" si="6"/>
        <v>17.269076305220871</v>
      </c>
      <c r="D240" s="3">
        <f t="shared" si="7"/>
        <v>36495</v>
      </c>
    </row>
    <row r="241" spans="1:4" ht="20" x14ac:dyDescent="0.2">
      <c r="A241" s="16" t="s">
        <v>271</v>
      </c>
      <c r="B241" s="17">
        <v>2.4900000000000002</v>
      </c>
      <c r="C241">
        <f t="shared" si="6"/>
        <v>96.062992125984266</v>
      </c>
      <c r="D241" s="3">
        <f t="shared" si="7"/>
        <v>36465</v>
      </c>
    </row>
    <row r="242" spans="1:4" ht="20" x14ac:dyDescent="0.2">
      <c r="A242" s="16" t="s">
        <v>272</v>
      </c>
      <c r="B242" s="17">
        <v>1.27</v>
      </c>
      <c r="C242">
        <f t="shared" si="6"/>
        <v>12.389380530973463</v>
      </c>
      <c r="D242" s="3">
        <f t="shared" si="7"/>
        <v>36434</v>
      </c>
    </row>
    <row r="243" spans="1:4" ht="20" x14ac:dyDescent="0.2">
      <c r="A243" s="16" t="s">
        <v>273</v>
      </c>
      <c r="B243" s="17">
        <v>1.1299999999999999</v>
      </c>
      <c r="C243">
        <f t="shared" si="6"/>
        <v>59.154929577464785</v>
      </c>
      <c r="D243" s="3">
        <f t="shared" si="7"/>
        <v>36404</v>
      </c>
    </row>
    <row r="244" spans="1:4" ht="20" x14ac:dyDescent="0.2">
      <c r="A244" s="16" t="s">
        <v>274</v>
      </c>
      <c r="B244" s="17">
        <v>0.71</v>
      </c>
      <c r="C244">
        <f t="shared" si="6"/>
        <v>7.5757575757575646</v>
      </c>
      <c r="D244" s="3">
        <f t="shared" si="7"/>
        <v>36373</v>
      </c>
    </row>
    <row r="245" spans="1:4" ht="20" x14ac:dyDescent="0.2">
      <c r="A245" s="16" t="s">
        <v>275</v>
      </c>
      <c r="B245" s="17">
        <v>0.66</v>
      </c>
      <c r="C245">
        <f t="shared" si="6"/>
        <v>-9.5890410958904031</v>
      </c>
      <c r="D245" s="3">
        <f t="shared" si="7"/>
        <v>36342</v>
      </c>
    </row>
    <row r="246" spans="1:4" ht="20" x14ac:dyDescent="0.2">
      <c r="A246" s="16" t="s">
        <v>276</v>
      </c>
      <c r="B246" s="17">
        <v>0.73</v>
      </c>
      <c r="C246">
        <f t="shared" si="6"/>
        <v>5.7971014492753676</v>
      </c>
      <c r="D246" s="3">
        <f t="shared" si="7"/>
        <v>36312</v>
      </c>
    </row>
    <row r="247" spans="1:4" ht="20" x14ac:dyDescent="0.2">
      <c r="A247" s="16" t="s">
        <v>277</v>
      </c>
      <c r="B247" s="17">
        <v>0.69</v>
      </c>
      <c r="C247">
        <f t="shared" si="6"/>
        <v>-12.658227848101276</v>
      </c>
      <c r="D247" s="3">
        <f t="shared" si="7"/>
        <v>36281</v>
      </c>
    </row>
    <row r="248" spans="1:4" ht="20" x14ac:dyDescent="0.2">
      <c r="A248" s="16" t="s">
        <v>278</v>
      </c>
      <c r="B248" s="17">
        <v>0.79</v>
      </c>
      <c r="C248">
        <f t="shared" si="6"/>
        <v>17.910447761194028</v>
      </c>
      <c r="D248" s="3">
        <f t="shared" si="7"/>
        <v>36251</v>
      </c>
    </row>
    <row r="249" spans="1:4" ht="20" x14ac:dyDescent="0.2">
      <c r="A249" s="16" t="s">
        <v>279</v>
      </c>
      <c r="B249" s="17">
        <v>0.67</v>
      </c>
      <c r="C249">
        <f t="shared" si="6"/>
        <v>24.074074074074073</v>
      </c>
      <c r="D249" s="3">
        <f t="shared" si="7"/>
        <v>36220</v>
      </c>
    </row>
    <row r="250" spans="1:4" ht="20" x14ac:dyDescent="0.2">
      <c r="A250" s="16" t="s">
        <v>280</v>
      </c>
      <c r="B250" s="17">
        <v>0.54</v>
      </c>
      <c r="C250">
        <f t="shared" si="6"/>
        <v>-14.285714285714279</v>
      </c>
      <c r="D250" s="3">
        <f t="shared" si="7"/>
        <v>36192</v>
      </c>
    </row>
    <row r="251" spans="1:4" ht="20" x14ac:dyDescent="0.2">
      <c r="A251" s="16" t="s">
        <v>281</v>
      </c>
      <c r="B251" s="17">
        <v>0.63</v>
      </c>
      <c r="C251">
        <f t="shared" si="6"/>
        <v>-1.5625000000000013</v>
      </c>
      <c r="D251" s="3">
        <f t="shared" si="7"/>
        <v>36161</v>
      </c>
    </row>
    <row r="252" spans="1:4" ht="20" x14ac:dyDescent="0.2">
      <c r="A252" s="16" t="s">
        <v>282</v>
      </c>
      <c r="B252" s="17">
        <v>0.64</v>
      </c>
      <c r="C252">
        <f t="shared" si="6"/>
        <v>88.235294117647058</v>
      </c>
      <c r="D252" s="3">
        <f t="shared" si="7"/>
        <v>36130</v>
      </c>
    </row>
    <row r="253" spans="1:4" ht="20" x14ac:dyDescent="0.2">
      <c r="A253" s="16" t="s">
        <v>283</v>
      </c>
      <c r="B253" s="17">
        <v>0.34</v>
      </c>
      <c r="C253">
        <f t="shared" si="6"/>
        <v>3.0303030303030329</v>
      </c>
      <c r="D253" s="3">
        <f t="shared" si="7"/>
        <v>36100</v>
      </c>
    </row>
    <row r="254" spans="1:4" ht="20" x14ac:dyDescent="0.2">
      <c r="A254" s="16" t="s">
        <v>284</v>
      </c>
      <c r="B254" s="17">
        <v>0.33</v>
      </c>
      <c r="C254">
        <f t="shared" si="6"/>
        <v>-19.512195121951212</v>
      </c>
      <c r="D254" s="3">
        <f t="shared" si="7"/>
        <v>36069</v>
      </c>
    </row>
    <row r="255" spans="1:4" ht="20" x14ac:dyDescent="0.2">
      <c r="A255" s="16" t="s">
        <v>285</v>
      </c>
      <c r="B255" s="17">
        <v>0.41</v>
      </c>
      <c r="C255">
        <f t="shared" si="6"/>
        <v>63.999999999999993</v>
      </c>
      <c r="D255" s="3">
        <f t="shared" si="7"/>
        <v>36039</v>
      </c>
    </row>
    <row r="256" spans="1:4" ht="20" x14ac:dyDescent="0.2">
      <c r="A256" s="16" t="s">
        <v>286</v>
      </c>
      <c r="B256" s="17">
        <v>0.25</v>
      </c>
      <c r="C256">
        <f t="shared" si="6"/>
        <v>-37.5</v>
      </c>
      <c r="D256" s="3">
        <f t="shared" si="7"/>
        <v>36008</v>
      </c>
    </row>
    <row r="257" spans="1:4" ht="20" x14ac:dyDescent="0.2">
      <c r="A257" s="16" t="s">
        <v>287</v>
      </c>
      <c r="B257" s="17">
        <v>0.4</v>
      </c>
      <c r="C257">
        <f t="shared" si="6"/>
        <v>-9.0909090909090864</v>
      </c>
      <c r="D257" s="3">
        <f t="shared" si="7"/>
        <v>35977</v>
      </c>
    </row>
    <row r="258" spans="1:4" ht="20" x14ac:dyDescent="0.2">
      <c r="A258" s="16" t="s">
        <v>288</v>
      </c>
      <c r="B258" s="17">
        <v>0.44</v>
      </c>
      <c r="C258">
        <f t="shared" si="6"/>
        <v>7.3170731707317138</v>
      </c>
      <c r="D258" s="3">
        <f t="shared" si="7"/>
        <v>35947</v>
      </c>
    </row>
    <row r="259" spans="1:4" ht="20" x14ac:dyDescent="0.2">
      <c r="A259" s="16" t="s">
        <v>289</v>
      </c>
      <c r="B259" s="17">
        <v>0.41</v>
      </c>
      <c r="C259">
        <f t="shared" ref="C259:C322" si="8">100*(B259-B260)/B260</f>
        <v>-2.3809523809523832</v>
      </c>
      <c r="D259" s="3">
        <f t="shared" si="7"/>
        <v>35916</v>
      </c>
    </row>
    <row r="260" spans="1:4" ht="20" x14ac:dyDescent="0.2">
      <c r="A260" s="16" t="s">
        <v>290</v>
      </c>
      <c r="B260" s="17">
        <v>0.42</v>
      </c>
      <c r="C260">
        <f t="shared" si="8"/>
        <v>-6.6666666666666723</v>
      </c>
      <c r="D260" s="3">
        <f t="shared" ref="D260:D323" si="9">EDATE(D259,-1)</f>
        <v>35886</v>
      </c>
    </row>
    <row r="261" spans="1:4" ht="20" x14ac:dyDescent="0.2">
      <c r="A261" s="16" t="s">
        <v>291</v>
      </c>
      <c r="B261" s="17">
        <v>0.45</v>
      </c>
      <c r="C261">
        <f t="shared" si="8"/>
        <v>21.621621621621628</v>
      </c>
      <c r="D261" s="3">
        <f t="shared" si="9"/>
        <v>35855</v>
      </c>
    </row>
    <row r="262" spans="1:4" ht="20" x14ac:dyDescent="0.2">
      <c r="A262" s="16" t="s">
        <v>292</v>
      </c>
      <c r="B262" s="17">
        <v>0.37</v>
      </c>
      <c r="C262">
        <f t="shared" si="8"/>
        <v>2.7777777777777803</v>
      </c>
      <c r="D262" s="3">
        <f t="shared" si="9"/>
        <v>35827</v>
      </c>
    </row>
    <row r="263" spans="1:4" ht="20" x14ac:dyDescent="0.2">
      <c r="A263" s="16" t="s">
        <v>293</v>
      </c>
      <c r="B263" s="17">
        <v>0.36</v>
      </c>
      <c r="C263">
        <f t="shared" si="8"/>
        <v>2.8571428571428599</v>
      </c>
      <c r="D263" s="3">
        <f t="shared" si="9"/>
        <v>35796</v>
      </c>
    </row>
    <row r="264" spans="1:4" ht="20" x14ac:dyDescent="0.2">
      <c r="A264" s="16" t="s">
        <v>294</v>
      </c>
      <c r="B264" s="17">
        <v>0.35</v>
      </c>
      <c r="C264">
        <f t="shared" si="8"/>
        <v>-7.8947368421052699</v>
      </c>
      <c r="D264" s="3">
        <f t="shared" si="9"/>
        <v>35765</v>
      </c>
    </row>
    <row r="265" spans="1:4" ht="20" x14ac:dyDescent="0.2">
      <c r="A265" s="16" t="s">
        <v>295</v>
      </c>
      <c r="B265" s="17">
        <v>0.38</v>
      </c>
      <c r="C265">
        <f t="shared" si="8"/>
        <v>-5.0000000000000044</v>
      </c>
      <c r="D265" s="3">
        <f t="shared" si="9"/>
        <v>35735</v>
      </c>
    </row>
    <row r="266" spans="1:4" ht="20" x14ac:dyDescent="0.2">
      <c r="A266" s="16" t="s">
        <v>296</v>
      </c>
      <c r="B266" s="17">
        <v>0.4</v>
      </c>
      <c r="C266">
        <f t="shared" si="8"/>
        <v>-13.043478260869565</v>
      </c>
      <c r="D266" s="3">
        <f t="shared" si="9"/>
        <v>35704</v>
      </c>
    </row>
    <row r="267" spans="1:4" ht="20" x14ac:dyDescent="0.2">
      <c r="A267" s="16" t="s">
        <v>297</v>
      </c>
      <c r="B267" s="17">
        <v>0.46</v>
      </c>
      <c r="C267">
        <f t="shared" si="8"/>
        <v>12.195121951219523</v>
      </c>
      <c r="D267" s="3">
        <f t="shared" si="9"/>
        <v>35674</v>
      </c>
    </row>
    <row r="268" spans="1:4" ht="20" x14ac:dyDescent="0.2">
      <c r="A268" s="16" t="s">
        <v>298</v>
      </c>
      <c r="B268" s="17">
        <v>0.41</v>
      </c>
      <c r="C268">
        <f t="shared" si="8"/>
        <v>32.258064516129025</v>
      </c>
      <c r="D268" s="3">
        <f t="shared" si="9"/>
        <v>35643</v>
      </c>
    </row>
    <row r="269" spans="1:4" ht="20" x14ac:dyDescent="0.2">
      <c r="A269" s="16" t="s">
        <v>299</v>
      </c>
      <c r="B269" s="17">
        <v>0.31</v>
      </c>
      <c r="C269">
        <f t="shared" si="8"/>
        <v>0</v>
      </c>
      <c r="D269" s="3">
        <f t="shared" si="9"/>
        <v>35612</v>
      </c>
    </row>
    <row r="270" spans="1:4" ht="20" x14ac:dyDescent="0.2">
      <c r="A270" s="16" t="s">
        <v>300</v>
      </c>
      <c r="B270" s="17">
        <v>0.31</v>
      </c>
      <c r="C270">
        <f t="shared" si="8"/>
        <v>6.8965517241379377</v>
      </c>
      <c r="D270" s="3">
        <f t="shared" si="9"/>
        <v>35582</v>
      </c>
    </row>
    <row r="271" spans="1:4" ht="20" x14ac:dyDescent="0.2">
      <c r="A271" s="16" t="s">
        <v>301</v>
      </c>
      <c r="B271" s="17">
        <v>0.28999999999999998</v>
      </c>
      <c r="C271">
        <f t="shared" si="8"/>
        <v>26.086956521739118</v>
      </c>
      <c r="D271" s="3">
        <f t="shared" si="9"/>
        <v>35551</v>
      </c>
    </row>
    <row r="272" spans="1:4" ht="20" x14ac:dyDescent="0.2">
      <c r="A272" s="16" t="s">
        <v>302</v>
      </c>
      <c r="B272" s="17">
        <v>0.23</v>
      </c>
      <c r="C272">
        <f t="shared" si="8"/>
        <v>-23.333333333333329</v>
      </c>
      <c r="D272" s="3">
        <f t="shared" si="9"/>
        <v>35521</v>
      </c>
    </row>
    <row r="273" spans="1:4" ht="20" x14ac:dyDescent="0.2">
      <c r="A273" s="16" t="s">
        <v>303</v>
      </c>
      <c r="B273" s="17">
        <v>0.3</v>
      </c>
      <c r="C273">
        <f t="shared" si="8"/>
        <v>-25.000000000000007</v>
      </c>
      <c r="D273" s="3">
        <f t="shared" si="9"/>
        <v>35490</v>
      </c>
    </row>
    <row r="274" spans="1:4" ht="20" x14ac:dyDescent="0.2">
      <c r="A274" s="16" t="s">
        <v>304</v>
      </c>
      <c r="B274" s="17">
        <v>0.4</v>
      </c>
      <c r="C274">
        <f t="shared" si="8"/>
        <v>-13.043478260869565</v>
      </c>
      <c r="D274" s="3">
        <f t="shared" si="9"/>
        <v>35462</v>
      </c>
    </row>
    <row r="275" spans="1:4" ht="20" x14ac:dyDescent="0.2">
      <c r="A275" s="16" t="s">
        <v>305</v>
      </c>
      <c r="B275" s="17">
        <v>0.46</v>
      </c>
      <c r="C275">
        <f t="shared" si="8"/>
        <v>0</v>
      </c>
      <c r="D275" s="3">
        <f t="shared" si="9"/>
        <v>35431</v>
      </c>
    </row>
    <row r="276" spans="1:4" ht="20" x14ac:dyDescent="0.2">
      <c r="A276" s="16" t="s">
        <v>306</v>
      </c>
      <c r="B276" s="17">
        <v>0.46</v>
      </c>
      <c r="C276">
        <f t="shared" si="8"/>
        <v>15</v>
      </c>
      <c r="D276" s="3">
        <f t="shared" si="9"/>
        <v>35400</v>
      </c>
    </row>
    <row r="277" spans="1:4" ht="20" x14ac:dyDescent="0.2">
      <c r="A277" s="16" t="s">
        <v>307</v>
      </c>
      <c r="B277" s="17">
        <v>0.4</v>
      </c>
      <c r="C277">
        <f t="shared" si="8"/>
        <v>11.111111111111121</v>
      </c>
      <c r="D277" s="3">
        <f t="shared" si="9"/>
        <v>35370</v>
      </c>
    </row>
    <row r="278" spans="1:4" ht="20" x14ac:dyDescent="0.2">
      <c r="A278" s="16" t="s">
        <v>308</v>
      </c>
      <c r="B278" s="17">
        <v>0.36</v>
      </c>
      <c r="C278">
        <f t="shared" si="8"/>
        <v>-18.181818181818187</v>
      </c>
      <c r="D278" s="3">
        <f t="shared" si="9"/>
        <v>35339</v>
      </c>
    </row>
    <row r="279" spans="1:4" ht="20" x14ac:dyDescent="0.2">
      <c r="A279" s="16" t="s">
        <v>309</v>
      </c>
      <c r="B279" s="17">
        <v>0.44</v>
      </c>
      <c r="C279">
        <f t="shared" si="8"/>
        <v>25.714285714285722</v>
      </c>
      <c r="D279" s="3">
        <f t="shared" si="9"/>
        <v>35309</v>
      </c>
    </row>
    <row r="280" spans="1:4" ht="20" x14ac:dyDescent="0.2">
      <c r="A280" s="16" t="s">
        <v>310</v>
      </c>
      <c r="B280" s="17">
        <v>0.35</v>
      </c>
      <c r="C280">
        <f t="shared" si="8"/>
        <v>2.9411764705882213</v>
      </c>
      <c r="D280" s="3">
        <f t="shared" si="9"/>
        <v>35278</v>
      </c>
    </row>
    <row r="281" spans="1:4" ht="20" x14ac:dyDescent="0.2">
      <c r="A281" s="16" t="s">
        <v>311</v>
      </c>
      <c r="B281" s="17">
        <v>0.34</v>
      </c>
      <c r="C281">
        <f t="shared" si="8"/>
        <v>-29.166666666666661</v>
      </c>
      <c r="D281" s="3">
        <f t="shared" si="9"/>
        <v>35247</v>
      </c>
    </row>
    <row r="282" spans="1:4" ht="20" x14ac:dyDescent="0.2">
      <c r="A282" s="16" t="s">
        <v>312</v>
      </c>
      <c r="B282" s="17">
        <v>0.48</v>
      </c>
      <c r="C282">
        <f t="shared" si="8"/>
        <v>-27.272727272727277</v>
      </c>
      <c r="D282" s="3">
        <f t="shared" si="9"/>
        <v>35217</v>
      </c>
    </row>
    <row r="283" spans="1:4" ht="20" x14ac:dyDescent="0.2">
      <c r="A283" s="16" t="s">
        <v>313</v>
      </c>
      <c r="B283" s="17">
        <v>0.66</v>
      </c>
      <c r="C283">
        <f t="shared" si="8"/>
        <v>6.4516129032258123</v>
      </c>
      <c r="D283" s="3">
        <f t="shared" si="9"/>
        <v>35186</v>
      </c>
    </row>
    <row r="284" spans="1:4" ht="20" x14ac:dyDescent="0.2">
      <c r="A284" s="16" t="s">
        <v>314</v>
      </c>
      <c r="B284" s="17">
        <v>0.62</v>
      </c>
      <c r="C284">
        <f t="shared" si="8"/>
        <v>-10.144927536231878</v>
      </c>
      <c r="D284" s="3">
        <f t="shared" si="9"/>
        <v>35156</v>
      </c>
    </row>
    <row r="285" spans="1:4" ht="20" x14ac:dyDescent="0.2">
      <c r="A285" s="16" t="s">
        <v>315</v>
      </c>
      <c r="B285" s="17">
        <v>0.69</v>
      </c>
      <c r="C285">
        <f t="shared" si="8"/>
        <v>-1.4285714285714299</v>
      </c>
      <c r="D285" s="3">
        <f t="shared" si="9"/>
        <v>35125</v>
      </c>
    </row>
    <row r="286" spans="1:4" ht="20" x14ac:dyDescent="0.2">
      <c r="A286" s="16" t="s">
        <v>316</v>
      </c>
      <c r="B286" s="17">
        <v>0.7</v>
      </c>
      <c r="C286">
        <f t="shared" si="8"/>
        <v>9.3749999999999911</v>
      </c>
      <c r="D286" s="3">
        <f t="shared" si="9"/>
        <v>35096</v>
      </c>
    </row>
    <row r="287" spans="1:4" ht="20" x14ac:dyDescent="0.2">
      <c r="A287" s="16" t="s">
        <v>317</v>
      </c>
      <c r="B287" s="17">
        <v>0.64</v>
      </c>
      <c r="C287">
        <f t="shared" si="8"/>
        <v>14.285714285714278</v>
      </c>
      <c r="D287" s="3">
        <f t="shared" si="9"/>
        <v>35065</v>
      </c>
    </row>
    <row r="288" spans="1:4" ht="20" x14ac:dyDescent="0.2">
      <c r="A288" s="16" t="s">
        <v>318</v>
      </c>
      <c r="B288" s="17">
        <v>0.56000000000000005</v>
      </c>
      <c r="C288">
        <f t="shared" si="8"/>
        <v>36.585365853658558</v>
      </c>
      <c r="D288" s="3">
        <f t="shared" si="9"/>
        <v>35034</v>
      </c>
    </row>
    <row r="289" spans="1:4" ht="20" x14ac:dyDescent="0.2">
      <c r="A289" s="16" t="s">
        <v>319</v>
      </c>
      <c r="B289" s="17">
        <v>0.41</v>
      </c>
      <c r="C289">
        <f t="shared" si="8"/>
        <v>10.810810810810807</v>
      </c>
      <c r="D289" s="3">
        <f t="shared" si="9"/>
        <v>35004</v>
      </c>
    </row>
    <row r="290" spans="1:4" ht="20" x14ac:dyDescent="0.2">
      <c r="A290" s="16" t="s">
        <v>320</v>
      </c>
      <c r="B290" s="17">
        <v>0.37</v>
      </c>
      <c r="C290">
        <f t="shared" si="8"/>
        <v>-7.5000000000000062</v>
      </c>
      <c r="D290" s="3">
        <f t="shared" si="9"/>
        <v>34973</v>
      </c>
    </row>
    <row r="291" spans="1:4" ht="20" x14ac:dyDescent="0.2">
      <c r="A291" s="16" t="s">
        <v>321</v>
      </c>
      <c r="B291" s="17">
        <v>0.4</v>
      </c>
      <c r="C291">
        <f t="shared" si="8"/>
        <v>-6.9767441860465054</v>
      </c>
      <c r="D291" s="3">
        <f t="shared" si="9"/>
        <v>34943</v>
      </c>
    </row>
    <row r="292" spans="1:4" ht="20" x14ac:dyDescent="0.2">
      <c r="A292" s="16" t="s">
        <v>322</v>
      </c>
      <c r="B292" s="17">
        <v>0.43</v>
      </c>
      <c r="C292">
        <f t="shared" si="8"/>
        <v>34.374999999999993</v>
      </c>
      <c r="D292" s="3">
        <f t="shared" si="9"/>
        <v>34912</v>
      </c>
    </row>
    <row r="293" spans="1:4" ht="20" x14ac:dyDescent="0.2">
      <c r="A293" s="16" t="s">
        <v>323</v>
      </c>
      <c r="B293" s="17">
        <v>0.32</v>
      </c>
      <c r="C293">
        <f t="shared" si="8"/>
        <v>-3.0303030303030329</v>
      </c>
      <c r="D293" s="3">
        <f t="shared" si="9"/>
        <v>34881</v>
      </c>
    </row>
    <row r="294" spans="1:4" ht="20" x14ac:dyDescent="0.2">
      <c r="A294" s="16" t="s">
        <v>324</v>
      </c>
      <c r="B294" s="17">
        <v>0.33</v>
      </c>
      <c r="C294">
        <f t="shared" si="8"/>
        <v>-13.157894736842103</v>
      </c>
      <c r="D294" s="3">
        <f t="shared" si="9"/>
        <v>34851</v>
      </c>
    </row>
    <row r="295" spans="1:4" ht="20" x14ac:dyDescent="0.2">
      <c r="A295" s="16" t="s">
        <v>325</v>
      </c>
      <c r="B295" s="17">
        <v>0.38</v>
      </c>
      <c r="C295">
        <f t="shared" si="8"/>
        <v>72.727272727272734</v>
      </c>
      <c r="D295" s="3">
        <f t="shared" si="9"/>
        <v>34820</v>
      </c>
    </row>
    <row r="296" spans="1:4" ht="20" x14ac:dyDescent="0.2">
      <c r="A296" s="16" t="s">
        <v>326</v>
      </c>
      <c r="B296" s="17">
        <v>0.22</v>
      </c>
      <c r="C296">
        <f t="shared" si="8"/>
        <v>-4.3478260869565251</v>
      </c>
      <c r="D296" s="3">
        <f t="shared" si="9"/>
        <v>34790</v>
      </c>
    </row>
    <row r="297" spans="1:4" ht="20" x14ac:dyDescent="0.2">
      <c r="A297" s="16" t="s">
        <v>327</v>
      </c>
      <c r="B297" s="17">
        <v>0.23</v>
      </c>
      <c r="C297">
        <f t="shared" si="8"/>
        <v>4.5454545454545494</v>
      </c>
      <c r="D297" s="3">
        <f t="shared" si="9"/>
        <v>34759</v>
      </c>
    </row>
    <row r="298" spans="1:4" ht="20" x14ac:dyDescent="0.2">
      <c r="A298" s="16" t="s">
        <v>328</v>
      </c>
      <c r="B298" s="17">
        <v>0.22</v>
      </c>
      <c r="C298">
        <f t="shared" si="8"/>
        <v>-4.3478260869565251</v>
      </c>
      <c r="D298" s="3">
        <f t="shared" si="9"/>
        <v>34731</v>
      </c>
    </row>
    <row r="299" spans="1:4" ht="20" x14ac:dyDescent="0.2">
      <c r="A299" s="16" t="s">
        <v>329</v>
      </c>
      <c r="B299" s="17">
        <v>0.23</v>
      </c>
      <c r="C299">
        <f t="shared" si="8"/>
        <v>0</v>
      </c>
      <c r="D299" s="3">
        <f t="shared" si="9"/>
        <v>34700</v>
      </c>
    </row>
    <row r="300" spans="1:4" ht="20" x14ac:dyDescent="0.2">
      <c r="A300" s="16" t="s">
        <v>330</v>
      </c>
      <c r="B300" s="17">
        <v>0.23</v>
      </c>
      <c r="C300">
        <f t="shared" si="8"/>
        <v>-23.333333333333329</v>
      </c>
      <c r="D300" s="3">
        <f t="shared" si="9"/>
        <v>34669</v>
      </c>
    </row>
    <row r="301" spans="1:4" ht="20" x14ac:dyDescent="0.2">
      <c r="A301" s="16" t="s">
        <v>331</v>
      </c>
      <c r="B301" s="17">
        <v>0.3</v>
      </c>
      <c r="C301">
        <f t="shared" si="8"/>
        <v>7.142857142857129</v>
      </c>
      <c r="D301" s="3">
        <f t="shared" si="9"/>
        <v>34639</v>
      </c>
    </row>
    <row r="302" spans="1:4" ht="20" x14ac:dyDescent="0.2">
      <c r="A302" s="16" t="s">
        <v>332</v>
      </c>
      <c r="B302" s="17">
        <v>0.28000000000000003</v>
      </c>
      <c r="C302">
        <f t="shared" si="8"/>
        <v>-3.4482758620689498</v>
      </c>
      <c r="D302" s="3">
        <f t="shared" si="9"/>
        <v>34608</v>
      </c>
    </row>
    <row r="303" spans="1:4" ht="20" x14ac:dyDescent="0.2">
      <c r="A303" s="16" t="s">
        <v>333</v>
      </c>
      <c r="B303" s="17">
        <v>0.28999999999999998</v>
      </c>
      <c r="C303">
        <f t="shared" si="8"/>
        <v>-6.4516129032258123</v>
      </c>
      <c r="D303" s="3">
        <f t="shared" si="9"/>
        <v>34578</v>
      </c>
    </row>
    <row r="304" spans="1:4" ht="20" x14ac:dyDescent="0.2">
      <c r="A304" s="16" t="s">
        <v>334</v>
      </c>
      <c r="B304" s="17">
        <v>0.31</v>
      </c>
      <c r="C304">
        <f t="shared" si="8"/>
        <v>-6.0606060606060659</v>
      </c>
      <c r="D304" s="3">
        <f t="shared" si="9"/>
        <v>34547</v>
      </c>
    </row>
    <row r="305" spans="1:4" ht="20" x14ac:dyDescent="0.2">
      <c r="A305" s="16" t="s">
        <v>335</v>
      </c>
      <c r="B305" s="17">
        <v>0.33</v>
      </c>
      <c r="C305">
        <f t="shared" si="8"/>
        <v>22.222222222222221</v>
      </c>
      <c r="D305" s="3">
        <f t="shared" si="9"/>
        <v>34516</v>
      </c>
    </row>
    <row r="306" spans="1:4" ht="20" x14ac:dyDescent="0.2">
      <c r="A306" s="16" t="s">
        <v>336</v>
      </c>
      <c r="B306" s="17">
        <v>0.27</v>
      </c>
      <c r="C306">
        <f t="shared" si="8"/>
        <v>-6.8965517241379182</v>
      </c>
      <c r="D306" s="3">
        <f t="shared" si="9"/>
        <v>34486</v>
      </c>
    </row>
    <row r="307" spans="1:4" ht="20" x14ac:dyDescent="0.2">
      <c r="A307" s="16" t="s">
        <v>337</v>
      </c>
      <c r="B307" s="17">
        <v>0.28999999999999998</v>
      </c>
      <c r="C307">
        <f t="shared" si="8"/>
        <v>0</v>
      </c>
      <c r="D307" s="3">
        <f t="shared" si="9"/>
        <v>34455</v>
      </c>
    </row>
    <row r="308" spans="1:4" ht="20" x14ac:dyDescent="0.2">
      <c r="A308" s="16" t="s">
        <v>338</v>
      </c>
      <c r="B308" s="17">
        <v>0.28999999999999998</v>
      </c>
      <c r="C308">
        <f t="shared" si="8"/>
        <v>3.5714285714285543</v>
      </c>
      <c r="D308" s="3">
        <f t="shared" si="9"/>
        <v>34425</v>
      </c>
    </row>
    <row r="309" spans="1:4" ht="20" x14ac:dyDescent="0.2">
      <c r="A309" s="16" t="s">
        <v>339</v>
      </c>
      <c r="B309" s="17">
        <v>0.28000000000000003</v>
      </c>
      <c r="C309">
        <f t="shared" si="8"/>
        <v>-3.4482758620689498</v>
      </c>
      <c r="D309" s="3">
        <f t="shared" si="9"/>
        <v>34394</v>
      </c>
    </row>
    <row r="310" spans="1:4" ht="20" x14ac:dyDescent="0.2">
      <c r="A310" s="16" t="s">
        <v>340</v>
      </c>
      <c r="B310" s="17">
        <v>0.28999999999999998</v>
      </c>
      <c r="C310">
        <f t="shared" si="8"/>
        <v>0</v>
      </c>
      <c r="D310" s="3">
        <f t="shared" si="9"/>
        <v>34366</v>
      </c>
    </row>
    <row r="311" spans="1:4" ht="20" x14ac:dyDescent="0.2">
      <c r="A311" s="16" t="s">
        <v>341</v>
      </c>
      <c r="B311" s="17">
        <v>0.28999999999999998</v>
      </c>
      <c r="C311">
        <f t="shared" si="8"/>
        <v>0</v>
      </c>
      <c r="D311" s="3">
        <f t="shared" si="9"/>
        <v>34335</v>
      </c>
    </row>
    <row r="312" spans="1:4" ht="20" x14ac:dyDescent="0.2">
      <c r="A312" s="16" t="s">
        <v>342</v>
      </c>
      <c r="B312" s="17">
        <v>0.28999999999999998</v>
      </c>
      <c r="C312">
        <f t="shared" si="8"/>
        <v>-3.3333333333333366</v>
      </c>
      <c r="D312" s="3">
        <f t="shared" si="9"/>
        <v>34304</v>
      </c>
    </row>
    <row r="313" spans="1:4" ht="20" x14ac:dyDescent="0.2">
      <c r="A313" s="16" t="s">
        <v>343</v>
      </c>
      <c r="B313" s="17">
        <v>0.3</v>
      </c>
      <c r="C313">
        <f t="shared" si="8"/>
        <v>-16.666666666666668</v>
      </c>
      <c r="D313" s="3">
        <f t="shared" si="9"/>
        <v>34274</v>
      </c>
    </row>
    <row r="314" spans="1:4" ht="20" x14ac:dyDescent="0.2">
      <c r="A314" s="16" t="s">
        <v>344</v>
      </c>
      <c r="B314" s="17">
        <v>0.36</v>
      </c>
      <c r="C314">
        <f t="shared" si="8"/>
        <v>-10.000000000000009</v>
      </c>
      <c r="D314" s="3">
        <f t="shared" si="9"/>
        <v>34243</v>
      </c>
    </row>
    <row r="315" spans="1:4" ht="20" x14ac:dyDescent="0.2">
      <c r="A315" s="16" t="s">
        <v>345</v>
      </c>
      <c r="B315" s="17">
        <v>0.4</v>
      </c>
      <c r="C315">
        <f t="shared" si="8"/>
        <v>-6.9767441860465054</v>
      </c>
      <c r="D315" s="3">
        <f t="shared" si="9"/>
        <v>34213</v>
      </c>
    </row>
    <row r="316" spans="1:4" ht="20" x14ac:dyDescent="0.2">
      <c r="A316" s="16" t="s">
        <v>346</v>
      </c>
      <c r="B316" s="17">
        <v>0.43</v>
      </c>
      <c r="C316">
        <f t="shared" si="8"/>
        <v>-2.2727272727272747</v>
      </c>
      <c r="D316" s="3">
        <f t="shared" si="9"/>
        <v>34182</v>
      </c>
    </row>
    <row r="317" spans="1:4" ht="20" x14ac:dyDescent="0.2">
      <c r="A317" s="16" t="s">
        <v>347</v>
      </c>
      <c r="B317" s="17">
        <v>0.44</v>
      </c>
      <c r="C317">
        <f t="shared" si="8"/>
        <v>2.3255813953488391</v>
      </c>
      <c r="D317" s="3">
        <f t="shared" si="9"/>
        <v>34151</v>
      </c>
    </row>
    <row r="318" spans="1:4" ht="20" x14ac:dyDescent="0.2">
      <c r="A318" s="16" t="s">
        <v>348</v>
      </c>
      <c r="B318" s="17">
        <v>0.43</v>
      </c>
      <c r="C318">
        <f t="shared" si="8"/>
        <v>-8.5106382978723367</v>
      </c>
      <c r="D318" s="3">
        <f t="shared" si="9"/>
        <v>34121</v>
      </c>
    </row>
    <row r="319" spans="1:4" ht="20" x14ac:dyDescent="0.2">
      <c r="A319" s="16" t="s">
        <v>349</v>
      </c>
      <c r="B319" s="17">
        <v>0.47</v>
      </c>
      <c r="C319">
        <f t="shared" si="8"/>
        <v>2.1739130434782505</v>
      </c>
      <c r="D319" s="3">
        <f t="shared" si="9"/>
        <v>34090</v>
      </c>
    </row>
    <row r="320" spans="1:4" ht="20" x14ac:dyDescent="0.2">
      <c r="A320" s="16" t="s">
        <v>350</v>
      </c>
      <c r="B320" s="17">
        <v>0.46</v>
      </c>
      <c r="C320">
        <f t="shared" si="8"/>
        <v>-2.1276595744680753</v>
      </c>
      <c r="D320" s="3">
        <f t="shared" si="9"/>
        <v>34060</v>
      </c>
    </row>
    <row r="321" spans="1:4" ht="20" x14ac:dyDescent="0.2">
      <c r="A321" s="16" t="s">
        <v>351</v>
      </c>
      <c r="B321" s="17">
        <v>0.47</v>
      </c>
      <c r="C321">
        <f t="shared" si="8"/>
        <v>20.512820512820504</v>
      </c>
      <c r="D321" s="3">
        <f t="shared" si="9"/>
        <v>34029</v>
      </c>
    </row>
    <row r="322" spans="1:4" ht="20" x14ac:dyDescent="0.2">
      <c r="A322" s="16" t="s">
        <v>352</v>
      </c>
      <c r="B322" s="17">
        <v>0.39</v>
      </c>
      <c r="C322">
        <f t="shared" si="8"/>
        <v>-25</v>
      </c>
      <c r="D322" s="3">
        <f t="shared" si="9"/>
        <v>34001</v>
      </c>
    </row>
    <row r="323" spans="1:4" ht="20" x14ac:dyDescent="0.2">
      <c r="A323" s="16" t="s">
        <v>353</v>
      </c>
      <c r="B323" s="17">
        <v>0.52</v>
      </c>
      <c r="C323">
        <f t="shared" ref="C323:C386" si="10">100*(B323-B324)/B324</f>
        <v>-5.4545454545454586</v>
      </c>
      <c r="D323" s="3">
        <f t="shared" si="9"/>
        <v>33970</v>
      </c>
    </row>
    <row r="324" spans="1:4" ht="20" x14ac:dyDescent="0.2">
      <c r="A324" s="16" t="s">
        <v>354</v>
      </c>
      <c r="B324" s="17">
        <v>0.55000000000000004</v>
      </c>
      <c r="C324">
        <f t="shared" si="10"/>
        <v>14.583333333333346</v>
      </c>
      <c r="D324" s="3">
        <f t="shared" ref="D324:D387" si="11">EDATE(D323,-1)</f>
        <v>33939</v>
      </c>
    </row>
    <row r="325" spans="1:4" ht="20" x14ac:dyDescent="0.2">
      <c r="A325" s="16" t="s">
        <v>355</v>
      </c>
      <c r="B325" s="17">
        <v>0.48</v>
      </c>
      <c r="C325">
        <f t="shared" si="10"/>
        <v>19.999999999999989</v>
      </c>
      <c r="D325" s="3">
        <f t="shared" si="11"/>
        <v>33909</v>
      </c>
    </row>
    <row r="326" spans="1:4" ht="20" x14ac:dyDescent="0.2">
      <c r="A326" s="16" t="s">
        <v>356</v>
      </c>
      <c r="B326" s="17">
        <v>0.4</v>
      </c>
      <c r="C326">
        <f t="shared" si="10"/>
        <v>5.2631578947368469</v>
      </c>
      <c r="D326" s="3">
        <f t="shared" si="11"/>
        <v>33878</v>
      </c>
    </row>
    <row r="327" spans="1:4" ht="20" x14ac:dyDescent="0.2">
      <c r="A327" s="16" t="s">
        <v>357</v>
      </c>
      <c r="B327" s="17">
        <v>0.38</v>
      </c>
      <c r="C327">
        <f t="shared" si="10"/>
        <v>-5.0000000000000044</v>
      </c>
      <c r="D327" s="3">
        <f t="shared" si="11"/>
        <v>33848</v>
      </c>
    </row>
    <row r="328" spans="1:4" ht="20" x14ac:dyDescent="0.2">
      <c r="A328" s="16" t="s">
        <v>358</v>
      </c>
      <c r="B328" s="17">
        <v>0.4</v>
      </c>
      <c r="C328">
        <f t="shared" si="10"/>
        <v>-6.9767441860465054</v>
      </c>
      <c r="D328" s="3">
        <f t="shared" si="11"/>
        <v>33817</v>
      </c>
    </row>
    <row r="329" spans="1:4" ht="20" x14ac:dyDescent="0.2">
      <c r="A329" s="16" t="s">
        <v>359</v>
      </c>
      <c r="B329" s="17">
        <v>0.43</v>
      </c>
      <c r="C329">
        <f t="shared" si="10"/>
        <v>2.3809523809523832</v>
      </c>
      <c r="D329" s="3">
        <f t="shared" si="11"/>
        <v>33786</v>
      </c>
    </row>
    <row r="330" spans="1:4" ht="20" x14ac:dyDescent="0.2">
      <c r="A330" s="16" t="s">
        <v>360</v>
      </c>
      <c r="B330" s="17">
        <v>0.42</v>
      </c>
      <c r="C330">
        <f t="shared" si="10"/>
        <v>-16.000000000000004</v>
      </c>
      <c r="D330" s="3">
        <f t="shared" si="11"/>
        <v>33756</v>
      </c>
    </row>
    <row r="331" spans="1:4" ht="20" x14ac:dyDescent="0.2">
      <c r="A331" s="16" t="s">
        <v>361</v>
      </c>
      <c r="B331" s="17">
        <v>0.5</v>
      </c>
      <c r="C331">
        <f t="shared" si="10"/>
        <v>11.111111111111109</v>
      </c>
      <c r="D331" s="3">
        <f t="shared" si="11"/>
        <v>33725</v>
      </c>
    </row>
    <row r="332" spans="1:4" ht="20" x14ac:dyDescent="0.2">
      <c r="A332" s="16" t="s">
        <v>362</v>
      </c>
      <c r="B332" s="17">
        <v>0.45</v>
      </c>
      <c r="C332">
        <f t="shared" si="10"/>
        <v>-21.052631578947359</v>
      </c>
      <c r="D332" s="3">
        <f t="shared" si="11"/>
        <v>33695</v>
      </c>
    </row>
    <row r="333" spans="1:4" ht="20" x14ac:dyDescent="0.2">
      <c r="A333" s="16" t="s">
        <v>363</v>
      </c>
      <c r="B333" s="17">
        <v>0.56999999999999995</v>
      </c>
      <c r="C333">
        <f t="shared" si="10"/>
        <v>-25.000000000000011</v>
      </c>
      <c r="D333" s="3">
        <f t="shared" si="11"/>
        <v>33664</v>
      </c>
    </row>
    <row r="334" spans="1:4" ht="20" x14ac:dyDescent="0.2">
      <c r="A334" s="16" t="s">
        <v>364</v>
      </c>
      <c r="B334" s="17">
        <v>0.76</v>
      </c>
      <c r="C334">
        <f t="shared" si="10"/>
        <v>7.0422535211267672</v>
      </c>
      <c r="D334" s="3">
        <f t="shared" si="11"/>
        <v>33635</v>
      </c>
    </row>
    <row r="335" spans="1:4" ht="20" x14ac:dyDescent="0.2">
      <c r="A335" s="16" t="s">
        <v>365</v>
      </c>
      <c r="B335" s="17">
        <v>0.71</v>
      </c>
      <c r="C335">
        <f t="shared" si="10"/>
        <v>10.937499999999991</v>
      </c>
      <c r="D335" s="3">
        <f t="shared" si="11"/>
        <v>33604</v>
      </c>
    </row>
    <row r="336" spans="1:4" ht="20" x14ac:dyDescent="0.2">
      <c r="A336" s="16" t="s">
        <v>366</v>
      </c>
      <c r="B336" s="17">
        <v>0.64</v>
      </c>
      <c r="C336">
        <f t="shared" si="10"/>
        <v>8.4745762711864483</v>
      </c>
      <c r="D336" s="3">
        <f t="shared" si="11"/>
        <v>33573</v>
      </c>
    </row>
    <row r="337" spans="1:4" ht="20" x14ac:dyDescent="0.2">
      <c r="A337" s="16" t="s">
        <v>367</v>
      </c>
      <c r="B337" s="17">
        <v>0.59</v>
      </c>
      <c r="C337">
        <f t="shared" si="10"/>
        <v>-10.606060606060614</v>
      </c>
      <c r="D337" s="3">
        <f t="shared" si="11"/>
        <v>33543</v>
      </c>
    </row>
    <row r="338" spans="1:4" ht="20" x14ac:dyDescent="0.2">
      <c r="A338" s="16" t="s">
        <v>368</v>
      </c>
      <c r="B338" s="17">
        <v>0.66</v>
      </c>
      <c r="C338">
        <f t="shared" si="10"/>
        <v>37.500000000000007</v>
      </c>
      <c r="D338" s="3">
        <f t="shared" si="11"/>
        <v>33512</v>
      </c>
    </row>
    <row r="339" spans="1:4" ht="20" x14ac:dyDescent="0.2">
      <c r="A339" s="16" t="s">
        <v>369</v>
      </c>
      <c r="B339" s="17">
        <v>0.48</v>
      </c>
      <c r="C339">
        <f t="shared" si="10"/>
        <v>-4.0000000000000036</v>
      </c>
      <c r="D339" s="3">
        <f t="shared" si="11"/>
        <v>33482</v>
      </c>
    </row>
    <row r="340" spans="1:4" ht="20" x14ac:dyDescent="0.2">
      <c r="A340" s="16" t="s">
        <v>370</v>
      </c>
      <c r="B340" s="17">
        <v>0.5</v>
      </c>
      <c r="C340">
        <f t="shared" si="10"/>
        <v>24.999999999999993</v>
      </c>
      <c r="D340" s="3">
        <f t="shared" si="11"/>
        <v>33451</v>
      </c>
    </row>
    <row r="341" spans="1:4" ht="20" x14ac:dyDescent="0.2">
      <c r="A341" s="16" t="s">
        <v>371</v>
      </c>
      <c r="B341" s="17">
        <v>0.4</v>
      </c>
      <c r="C341">
        <f t="shared" si="10"/>
        <v>2.5641025641025661</v>
      </c>
      <c r="D341" s="3">
        <f t="shared" si="11"/>
        <v>33420</v>
      </c>
    </row>
    <row r="342" spans="1:4" ht="20" x14ac:dyDescent="0.2">
      <c r="A342" s="16" t="s">
        <v>372</v>
      </c>
      <c r="B342" s="17">
        <v>0.39</v>
      </c>
      <c r="C342">
        <f t="shared" si="10"/>
        <v>-4.8780487804877959</v>
      </c>
      <c r="D342" s="3">
        <f t="shared" si="11"/>
        <v>33390</v>
      </c>
    </row>
    <row r="343" spans="1:4" ht="20" x14ac:dyDescent="0.2">
      <c r="A343" s="16" t="s">
        <v>373</v>
      </c>
      <c r="B343" s="17">
        <v>0.41</v>
      </c>
      <c r="C343">
        <f t="shared" si="10"/>
        <v>-4.6511627906976782</v>
      </c>
      <c r="D343" s="3">
        <f t="shared" si="11"/>
        <v>33359</v>
      </c>
    </row>
    <row r="344" spans="1:4" ht="20" x14ac:dyDescent="0.2">
      <c r="A344" s="16" t="s">
        <v>374</v>
      </c>
      <c r="B344" s="17">
        <v>0.43</v>
      </c>
      <c r="C344">
        <f t="shared" si="10"/>
        <v>-14.000000000000002</v>
      </c>
      <c r="D344" s="3">
        <f t="shared" si="11"/>
        <v>33329</v>
      </c>
    </row>
    <row r="345" spans="1:4" ht="20" x14ac:dyDescent="0.2">
      <c r="A345" s="16" t="s">
        <v>375</v>
      </c>
      <c r="B345" s="17">
        <v>0.5</v>
      </c>
      <c r="C345">
        <f t="shared" si="10"/>
        <v>16.279069767441865</v>
      </c>
      <c r="D345" s="3">
        <f t="shared" si="11"/>
        <v>33298</v>
      </c>
    </row>
    <row r="346" spans="1:4" ht="20" x14ac:dyDescent="0.2">
      <c r="A346" s="16" t="s">
        <v>376</v>
      </c>
      <c r="B346" s="17">
        <v>0.43</v>
      </c>
      <c r="C346">
        <f t="shared" si="10"/>
        <v>30.303030303030297</v>
      </c>
      <c r="D346" s="3">
        <f t="shared" si="11"/>
        <v>33270</v>
      </c>
    </row>
    <row r="347" spans="1:4" ht="20" x14ac:dyDescent="0.2">
      <c r="A347" s="16" t="s">
        <v>377</v>
      </c>
      <c r="B347" s="17">
        <v>0.33</v>
      </c>
      <c r="C347">
        <f t="shared" si="10"/>
        <v>22.222222222222221</v>
      </c>
      <c r="D347" s="3">
        <f t="shared" si="11"/>
        <v>33239</v>
      </c>
    </row>
    <row r="348" spans="1:4" ht="20" x14ac:dyDescent="0.2">
      <c r="A348" s="16" t="s">
        <v>378</v>
      </c>
      <c r="B348" s="17">
        <v>0.27</v>
      </c>
      <c r="C348">
        <f t="shared" si="10"/>
        <v>3.8461538461538494</v>
      </c>
      <c r="D348" s="3">
        <f t="shared" si="11"/>
        <v>33208</v>
      </c>
    </row>
    <row r="349" spans="1:4" ht="20" x14ac:dyDescent="0.2">
      <c r="A349" s="16" t="s">
        <v>379</v>
      </c>
      <c r="B349" s="17">
        <v>0.26</v>
      </c>
      <c r="C349">
        <f t="shared" si="10"/>
        <v>0</v>
      </c>
      <c r="D349" s="3">
        <f t="shared" si="11"/>
        <v>33178</v>
      </c>
    </row>
    <row r="350" spans="1:4" ht="20" x14ac:dyDescent="0.2">
      <c r="A350" s="16" t="s">
        <v>380</v>
      </c>
      <c r="B350" s="17">
        <v>0.26</v>
      </c>
      <c r="C350">
        <f t="shared" si="10"/>
        <v>0</v>
      </c>
      <c r="D350" s="3">
        <f t="shared" si="11"/>
        <v>33147</v>
      </c>
    </row>
    <row r="351" spans="1:4" ht="20" x14ac:dyDescent="0.2">
      <c r="A351" s="16" t="s">
        <v>381</v>
      </c>
      <c r="B351" s="17">
        <v>0.26</v>
      </c>
      <c r="C351">
        <f t="shared" si="10"/>
        <v>-13.333333333333329</v>
      </c>
      <c r="D351" s="3">
        <f t="shared" si="11"/>
        <v>33117</v>
      </c>
    </row>
    <row r="352" spans="1:4" ht="20" x14ac:dyDescent="0.2">
      <c r="A352" s="16" t="s">
        <v>382</v>
      </c>
      <c r="B352" s="17">
        <v>0.3</v>
      </c>
      <c r="C352">
        <f t="shared" si="10"/>
        <v>0</v>
      </c>
      <c r="D352" s="3">
        <f t="shared" si="11"/>
        <v>33086</v>
      </c>
    </row>
    <row r="353" spans="1:4" ht="20" x14ac:dyDescent="0.2">
      <c r="A353" s="16" t="s">
        <v>383</v>
      </c>
      <c r="B353" s="17">
        <v>0.3</v>
      </c>
      <c r="C353">
        <f t="shared" si="10"/>
        <v>7.142857142857129</v>
      </c>
      <c r="D353" s="3">
        <f t="shared" si="11"/>
        <v>33055</v>
      </c>
    </row>
    <row r="354" spans="1:4" ht="20" x14ac:dyDescent="0.2">
      <c r="A354" s="16" t="s">
        <v>384</v>
      </c>
      <c r="B354" s="17">
        <v>0.28000000000000003</v>
      </c>
      <c r="C354">
        <f t="shared" si="10"/>
        <v>27.272727272727284</v>
      </c>
      <c r="D354" s="3">
        <f t="shared" si="11"/>
        <v>33025</v>
      </c>
    </row>
    <row r="355" spans="1:4" ht="20" x14ac:dyDescent="0.2">
      <c r="A355" s="16" t="s">
        <v>385</v>
      </c>
      <c r="B355" s="17">
        <v>0.22</v>
      </c>
      <c r="C355">
        <f t="shared" si="10"/>
        <v>-24.137931034482754</v>
      </c>
      <c r="D355" s="3">
        <f t="shared" si="11"/>
        <v>32994</v>
      </c>
    </row>
    <row r="356" spans="1:4" ht="20" x14ac:dyDescent="0.2">
      <c r="A356" s="16" t="s">
        <v>386</v>
      </c>
      <c r="B356" s="17">
        <v>0.28999999999999998</v>
      </c>
      <c r="C356">
        <f t="shared" si="10"/>
        <v>-6.4516129032258123</v>
      </c>
      <c r="D356" s="3">
        <f t="shared" si="11"/>
        <v>32964</v>
      </c>
    </row>
    <row r="357" spans="1:4" ht="20" x14ac:dyDescent="0.2">
      <c r="A357" s="16" t="s">
        <v>387</v>
      </c>
      <c r="B357" s="17">
        <v>0.31</v>
      </c>
      <c r="C357">
        <f t="shared" si="10"/>
        <v>0</v>
      </c>
      <c r="D357" s="3">
        <f t="shared" si="11"/>
        <v>32933</v>
      </c>
    </row>
    <row r="358" spans="1:4" ht="20" x14ac:dyDescent="0.2">
      <c r="A358" s="16" t="s">
        <v>388</v>
      </c>
      <c r="B358" s="17">
        <v>0.31</v>
      </c>
      <c r="C358">
        <f t="shared" si="10"/>
        <v>6.8965517241379377</v>
      </c>
      <c r="D358" s="3">
        <f t="shared" si="11"/>
        <v>32905</v>
      </c>
    </row>
    <row r="359" spans="1:4" ht="20" x14ac:dyDescent="0.2">
      <c r="A359" s="16" t="s">
        <v>389</v>
      </c>
      <c r="B359" s="17">
        <v>0.28999999999999998</v>
      </c>
      <c r="C359">
        <f t="shared" si="10"/>
        <v>-6.4516129032258123</v>
      </c>
      <c r="D359" s="3">
        <f t="shared" si="11"/>
        <v>32874</v>
      </c>
    </row>
    <row r="360" spans="1:4" ht="20" x14ac:dyDescent="0.2">
      <c r="A360" s="16" t="s">
        <v>390</v>
      </c>
      <c r="B360" s="17">
        <v>0.31</v>
      </c>
      <c r="C360">
        <f t="shared" si="10"/>
        <v>3.3333333333333366</v>
      </c>
      <c r="D360" s="3">
        <f t="shared" si="11"/>
        <v>32843</v>
      </c>
    </row>
    <row r="361" spans="1:4" ht="20" x14ac:dyDescent="0.2">
      <c r="A361" s="16" t="s">
        <v>391</v>
      </c>
      <c r="B361" s="17">
        <v>0.3</v>
      </c>
      <c r="C361">
        <f t="shared" si="10"/>
        <v>7.142857142857129</v>
      </c>
      <c r="D361" s="3">
        <f t="shared" si="11"/>
        <v>32813</v>
      </c>
    </row>
    <row r="362" spans="1:4" ht="20" x14ac:dyDescent="0.2">
      <c r="A362" s="16" t="s">
        <v>392</v>
      </c>
      <c r="B362" s="17">
        <v>0.28000000000000003</v>
      </c>
      <c r="C362">
        <f t="shared" si="10"/>
        <v>-19.999999999999986</v>
      </c>
      <c r="D362" s="3">
        <f t="shared" si="11"/>
        <v>32782</v>
      </c>
    </row>
    <row r="363" spans="1:4" ht="20" x14ac:dyDescent="0.2">
      <c r="A363" s="16" t="s">
        <v>393</v>
      </c>
      <c r="B363" s="17">
        <v>0.35</v>
      </c>
      <c r="C363">
        <f t="shared" si="10"/>
        <v>-7.8947368421052699</v>
      </c>
      <c r="D363" s="3">
        <f t="shared" si="11"/>
        <v>32752</v>
      </c>
    </row>
    <row r="364" spans="1:4" ht="20" x14ac:dyDescent="0.2">
      <c r="A364" s="16" t="s">
        <v>394</v>
      </c>
      <c r="B364" s="17">
        <v>0.38</v>
      </c>
      <c r="C364">
        <f t="shared" si="10"/>
        <v>-19.14893617021276</v>
      </c>
      <c r="D364" s="3">
        <f t="shared" si="11"/>
        <v>32721</v>
      </c>
    </row>
    <row r="365" spans="1:4" ht="20" x14ac:dyDescent="0.2">
      <c r="A365" s="16" t="s">
        <v>395</v>
      </c>
      <c r="B365" s="17">
        <v>0.47</v>
      </c>
      <c r="C365">
        <f t="shared" si="10"/>
        <v>51.612903225806448</v>
      </c>
      <c r="D365" s="3">
        <f t="shared" si="11"/>
        <v>32690</v>
      </c>
    </row>
    <row r="366" spans="1:4" ht="20" x14ac:dyDescent="0.2">
      <c r="A366" s="16" t="s">
        <v>396</v>
      </c>
      <c r="B366" s="17">
        <v>0.31</v>
      </c>
      <c r="C366">
        <f t="shared" si="10"/>
        <v>3.3333333333333366</v>
      </c>
      <c r="D366" s="3">
        <f t="shared" si="11"/>
        <v>32660</v>
      </c>
    </row>
    <row r="367" spans="1:4" ht="20" x14ac:dyDescent="0.2">
      <c r="A367" s="16" t="s">
        <v>397</v>
      </c>
      <c r="B367" s="17">
        <v>0.3</v>
      </c>
      <c r="C367">
        <f t="shared" si="10"/>
        <v>3.4482758620689689</v>
      </c>
      <c r="D367" s="3">
        <f t="shared" si="11"/>
        <v>32629</v>
      </c>
    </row>
    <row r="368" spans="1:4" ht="20" x14ac:dyDescent="0.2">
      <c r="A368" s="16" t="s">
        <v>398</v>
      </c>
      <c r="B368" s="17">
        <v>0.28999999999999998</v>
      </c>
      <c r="C368">
        <f t="shared" si="10"/>
        <v>0</v>
      </c>
      <c r="D368" s="3">
        <f t="shared" si="11"/>
        <v>32599</v>
      </c>
    </row>
    <row r="369" spans="1:4" ht="20" x14ac:dyDescent="0.2">
      <c r="A369" s="16" t="s">
        <v>399</v>
      </c>
      <c r="B369" s="17">
        <v>0.28999999999999998</v>
      </c>
      <c r="C369">
        <f t="shared" si="10"/>
        <v>-17.142857142857142</v>
      </c>
      <c r="D369" s="3">
        <f t="shared" si="11"/>
        <v>32568</v>
      </c>
    </row>
    <row r="370" spans="1:4" ht="20" x14ac:dyDescent="0.2">
      <c r="A370" s="16" t="s">
        <v>400</v>
      </c>
      <c r="B370" s="17">
        <v>0.35</v>
      </c>
      <c r="C370">
        <f t="shared" si="10"/>
        <v>2.9411764705882213</v>
      </c>
      <c r="D370" s="3">
        <f t="shared" si="11"/>
        <v>32540</v>
      </c>
    </row>
    <row r="371" spans="1:4" ht="20" x14ac:dyDescent="0.2">
      <c r="A371" s="16" t="s">
        <v>401</v>
      </c>
      <c r="B371" s="17">
        <v>0.34</v>
      </c>
      <c r="C371">
        <f t="shared" si="10"/>
        <v>-10.52631578947368</v>
      </c>
      <c r="D371" s="3">
        <f t="shared" si="11"/>
        <v>32509</v>
      </c>
    </row>
    <row r="372" spans="1:4" ht="20" x14ac:dyDescent="0.2">
      <c r="A372" s="16" t="s">
        <v>402</v>
      </c>
      <c r="B372" s="17">
        <v>0.38</v>
      </c>
      <c r="C372">
        <f t="shared" si="10"/>
        <v>31.034482758620697</v>
      </c>
      <c r="D372" s="3">
        <f t="shared" si="11"/>
        <v>32478</v>
      </c>
    </row>
    <row r="373" spans="1:4" ht="20" x14ac:dyDescent="0.2">
      <c r="A373" s="16" t="s">
        <v>403</v>
      </c>
      <c r="B373" s="17">
        <v>0.28999999999999998</v>
      </c>
      <c r="C373">
        <f t="shared" si="10"/>
        <v>-23.684210526315795</v>
      </c>
      <c r="D373" s="3">
        <f t="shared" si="11"/>
        <v>32448</v>
      </c>
    </row>
    <row r="374" spans="1:4" ht="20" x14ac:dyDescent="0.2">
      <c r="A374" s="16" t="s">
        <v>404</v>
      </c>
      <c r="B374" s="17">
        <v>0.38</v>
      </c>
      <c r="C374">
        <f t="shared" si="10"/>
        <v>-9.5238095238095202</v>
      </c>
      <c r="D374" s="3">
        <f t="shared" si="11"/>
        <v>32417</v>
      </c>
    </row>
    <row r="375" spans="1:4" ht="20" x14ac:dyDescent="0.2">
      <c r="A375" s="16" t="s">
        <v>405</v>
      </c>
      <c r="B375" s="17">
        <v>0.42</v>
      </c>
      <c r="C375">
        <f t="shared" si="10"/>
        <v>7.6923076923076854</v>
      </c>
      <c r="D375" s="3">
        <f t="shared" si="11"/>
        <v>32387</v>
      </c>
    </row>
    <row r="376" spans="1:4" ht="20" x14ac:dyDescent="0.2">
      <c r="A376" s="16" t="s">
        <v>406</v>
      </c>
      <c r="B376" s="17">
        <v>0.39</v>
      </c>
      <c r="C376">
        <f t="shared" si="10"/>
        <v>0</v>
      </c>
      <c r="D376" s="3">
        <f t="shared" si="11"/>
        <v>32356</v>
      </c>
    </row>
    <row r="377" spans="1:4" ht="20" x14ac:dyDescent="0.2">
      <c r="A377" s="16" t="s">
        <v>407</v>
      </c>
      <c r="B377" s="17">
        <v>0.39</v>
      </c>
      <c r="C377">
        <f t="shared" si="10"/>
        <v>-7.142857142857137</v>
      </c>
      <c r="D377" s="3">
        <f t="shared" si="11"/>
        <v>32325</v>
      </c>
    </row>
    <row r="378" spans="1:4" ht="20" x14ac:dyDescent="0.2">
      <c r="A378" s="16" t="s">
        <v>408</v>
      </c>
      <c r="B378" s="17">
        <v>0.42</v>
      </c>
      <c r="C378">
        <f t="shared" si="10"/>
        <v>2.4390243902439046</v>
      </c>
      <c r="D378" s="3">
        <f t="shared" si="11"/>
        <v>32295</v>
      </c>
    </row>
    <row r="379" spans="1:4" ht="20" x14ac:dyDescent="0.2">
      <c r="A379" s="16" t="s">
        <v>409</v>
      </c>
      <c r="B379" s="17">
        <v>0.41</v>
      </c>
      <c r="C379">
        <f t="shared" si="10"/>
        <v>-14.583333333333336</v>
      </c>
      <c r="D379" s="3">
        <f t="shared" si="11"/>
        <v>32264</v>
      </c>
    </row>
    <row r="380" spans="1:4" ht="20" x14ac:dyDescent="0.2">
      <c r="A380" s="16" t="s">
        <v>410</v>
      </c>
      <c r="B380" s="17">
        <v>0.48</v>
      </c>
      <c r="C380">
        <f t="shared" si="10"/>
        <v>-2.0408163265306141</v>
      </c>
      <c r="D380" s="3">
        <f t="shared" si="11"/>
        <v>32234</v>
      </c>
    </row>
    <row r="381" spans="1:4" ht="20" x14ac:dyDescent="0.2">
      <c r="A381" s="16" t="s">
        <v>411</v>
      </c>
      <c r="B381" s="17">
        <v>0.49</v>
      </c>
      <c r="C381">
        <f t="shared" si="10"/>
        <v>-7.547169811320761</v>
      </c>
      <c r="D381" s="3">
        <f t="shared" si="11"/>
        <v>32203</v>
      </c>
    </row>
    <row r="382" spans="1:4" ht="20" x14ac:dyDescent="0.2">
      <c r="A382" s="16" t="s">
        <v>412</v>
      </c>
      <c r="B382" s="17">
        <v>0.53</v>
      </c>
      <c r="C382">
        <f t="shared" si="10"/>
        <v>3.9215686274509838</v>
      </c>
      <c r="D382" s="3">
        <f t="shared" si="11"/>
        <v>32174</v>
      </c>
    </row>
    <row r="383" spans="1:4" ht="20" x14ac:dyDescent="0.2">
      <c r="A383" s="16" t="s">
        <v>413</v>
      </c>
      <c r="B383" s="17">
        <v>0.51</v>
      </c>
      <c r="C383">
        <f t="shared" si="10"/>
        <v>41.666666666666671</v>
      </c>
      <c r="D383" s="3">
        <f t="shared" si="11"/>
        <v>32143</v>
      </c>
    </row>
    <row r="384" spans="1:4" ht="20" x14ac:dyDescent="0.2">
      <c r="A384" s="16" t="s">
        <v>414</v>
      </c>
      <c r="B384" s="17">
        <v>0.36</v>
      </c>
      <c r="C384">
        <f t="shared" si="10"/>
        <v>-5.2631578947368469</v>
      </c>
      <c r="D384" s="3">
        <f t="shared" si="11"/>
        <v>32112</v>
      </c>
    </row>
    <row r="385" spans="1:4" ht="20" x14ac:dyDescent="0.2">
      <c r="A385" s="16" t="s">
        <v>415</v>
      </c>
      <c r="B385" s="17">
        <v>0.38</v>
      </c>
      <c r="C385">
        <f t="shared" si="10"/>
        <v>-24</v>
      </c>
      <c r="D385" s="3">
        <f t="shared" si="11"/>
        <v>32082</v>
      </c>
    </row>
    <row r="386" spans="1:4" ht="20" x14ac:dyDescent="0.2">
      <c r="A386" s="16" t="s">
        <v>416</v>
      </c>
      <c r="B386" s="17">
        <v>0.5</v>
      </c>
      <c r="C386">
        <f t="shared" si="10"/>
        <v>-41.176470588235297</v>
      </c>
      <c r="D386" s="3">
        <f t="shared" si="11"/>
        <v>32051</v>
      </c>
    </row>
    <row r="387" spans="1:4" ht="20" x14ac:dyDescent="0.2">
      <c r="A387" s="16" t="s">
        <v>417</v>
      </c>
      <c r="B387" s="17">
        <v>0.85</v>
      </c>
      <c r="C387">
        <f t="shared" ref="C387:C389" si="12">100*(B387-B388)/B388</f>
        <v>7.594936708860752</v>
      </c>
      <c r="D387" s="3">
        <f t="shared" si="11"/>
        <v>32021</v>
      </c>
    </row>
    <row r="388" spans="1:4" ht="20" x14ac:dyDescent="0.2">
      <c r="A388" s="16" t="s">
        <v>418</v>
      </c>
      <c r="B388" s="17">
        <v>0.79</v>
      </c>
      <c r="C388">
        <f t="shared" si="12"/>
        <v>54.901960784313729</v>
      </c>
      <c r="D388" s="3">
        <f t="shared" ref="D388:D389" si="13">EDATE(D387,-1)</f>
        <v>31990</v>
      </c>
    </row>
    <row r="389" spans="1:4" ht="20" x14ac:dyDescent="0.2">
      <c r="A389" s="16" t="s">
        <v>419</v>
      </c>
      <c r="B389" s="17">
        <v>0.51</v>
      </c>
      <c r="C389" t="e">
        <f t="shared" si="12"/>
        <v>#DIV/0!</v>
      </c>
      <c r="D389" s="3">
        <f t="shared" si="13"/>
        <v>31959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16E3-6ED9-7940-91AF-D9EB2BD18B83}">
  <dimension ref="A1:T15"/>
  <sheetViews>
    <sheetView workbookViewId="0">
      <selection activeCell="M23" sqref="M23"/>
    </sheetView>
  </sheetViews>
  <sheetFormatPr baseColWidth="10" defaultRowHeight="16" x14ac:dyDescent="0.2"/>
  <cols>
    <col min="2" max="2" width="12.83203125" customWidth="1"/>
    <col min="3" max="3" width="14.5" customWidth="1"/>
    <col min="4" max="4" width="16.33203125" bestFit="1" customWidth="1"/>
    <col min="5" max="5" width="17.33203125" customWidth="1"/>
    <col min="6" max="6" width="12" customWidth="1"/>
    <col min="7" max="7" width="21" customWidth="1"/>
    <col min="8" max="8" width="27.6640625" customWidth="1"/>
    <col min="9" max="9" width="16.83203125" customWidth="1"/>
    <col min="10" max="10" width="33.1640625" customWidth="1"/>
    <col min="11" max="11" width="13.1640625" customWidth="1"/>
    <col min="12" max="12" width="20" customWidth="1"/>
    <col min="13" max="13" width="22.5" customWidth="1"/>
    <col min="14" max="14" width="23.6640625" customWidth="1"/>
    <col min="15" max="15" width="26.1640625" customWidth="1"/>
    <col min="16" max="16" width="22" customWidth="1"/>
    <col min="17" max="17" width="24.5" customWidth="1"/>
    <col min="18" max="18" width="32.6640625" customWidth="1"/>
  </cols>
  <sheetData>
    <row r="1" spans="1:20" x14ac:dyDescent="0.2">
      <c r="A1" s="19" t="s">
        <v>424</v>
      </c>
      <c r="B1" s="19" t="s">
        <v>425</v>
      </c>
      <c r="C1" s="19" t="s">
        <v>426</v>
      </c>
      <c r="D1" s="20" t="s">
        <v>428</v>
      </c>
      <c r="E1" s="20" t="s">
        <v>429</v>
      </c>
      <c r="F1" s="20" t="s">
        <v>430</v>
      </c>
      <c r="G1" s="20" t="s">
        <v>431</v>
      </c>
      <c r="H1" s="20" t="s">
        <v>432</v>
      </c>
      <c r="I1" s="20" t="s">
        <v>433</v>
      </c>
      <c r="J1" s="20" t="s">
        <v>434</v>
      </c>
      <c r="K1" s="20" t="s">
        <v>435</v>
      </c>
      <c r="L1" s="20" t="s">
        <v>436</v>
      </c>
      <c r="M1" s="20" t="s">
        <v>437</v>
      </c>
      <c r="N1" s="20" t="s">
        <v>438</v>
      </c>
      <c r="O1" s="20" t="s">
        <v>439</v>
      </c>
      <c r="P1" s="20" t="s">
        <v>440</v>
      </c>
      <c r="Q1" s="21" t="s">
        <v>441</v>
      </c>
      <c r="R1" s="31" t="s">
        <v>446</v>
      </c>
      <c r="S1" s="40" t="s">
        <v>448</v>
      </c>
      <c r="T1" s="40" t="s">
        <v>451</v>
      </c>
    </row>
    <row r="2" spans="1:20" x14ac:dyDescent="0.2">
      <c r="A2" s="42">
        <v>2023</v>
      </c>
      <c r="B2" s="42" t="s">
        <v>442</v>
      </c>
      <c r="C2" s="42" t="s">
        <v>443</v>
      </c>
      <c r="D2" s="52">
        <v>3859804788.5999999</v>
      </c>
      <c r="E2" s="60">
        <v>36967</v>
      </c>
      <c r="F2" s="60">
        <v>4395154</v>
      </c>
      <c r="G2" s="52" t="s">
        <v>445</v>
      </c>
      <c r="H2" s="52">
        <v>104412.17271</v>
      </c>
      <c r="I2" s="52">
        <v>878.21219632999998</v>
      </c>
      <c r="J2" s="27" t="s">
        <v>445</v>
      </c>
      <c r="K2" s="42">
        <v>216207</v>
      </c>
      <c r="L2" s="42" t="s">
        <v>445</v>
      </c>
      <c r="M2" s="42" t="s">
        <v>445</v>
      </c>
      <c r="N2" s="42" t="s">
        <v>445</v>
      </c>
      <c r="O2" s="42" t="s">
        <v>445</v>
      </c>
      <c r="P2" s="42" t="s">
        <v>445</v>
      </c>
      <c r="Q2" s="58" t="s">
        <v>445</v>
      </c>
      <c r="R2">
        <v>17852.358103999999</v>
      </c>
      <c r="S2" t="s">
        <v>450</v>
      </c>
      <c r="T2" t="s">
        <v>445</v>
      </c>
    </row>
    <row r="3" spans="1:20" x14ac:dyDescent="0.2">
      <c r="A3" s="44">
        <v>2022</v>
      </c>
      <c r="B3" s="44" t="s">
        <v>442</v>
      </c>
      <c r="C3" s="44" t="s">
        <v>443</v>
      </c>
      <c r="D3" s="66">
        <v>5935051092.3999996</v>
      </c>
      <c r="E3" s="61">
        <v>45557</v>
      </c>
      <c r="F3" s="61">
        <v>6720907</v>
      </c>
      <c r="G3" s="52" t="s">
        <v>445</v>
      </c>
      <c r="H3" s="66">
        <v>130277.4786</v>
      </c>
      <c r="I3" s="66">
        <v>883.09617744000002</v>
      </c>
      <c r="J3" s="27" t="s">
        <v>445</v>
      </c>
      <c r="K3" s="44">
        <v>329329</v>
      </c>
      <c r="L3" s="42" t="s">
        <v>445</v>
      </c>
      <c r="M3" s="42" t="s">
        <v>445</v>
      </c>
      <c r="N3" s="42" t="s">
        <v>445</v>
      </c>
      <c r="O3" s="42" t="s">
        <v>445</v>
      </c>
      <c r="P3" s="42" t="s">
        <v>445</v>
      </c>
      <c r="Q3" s="58" t="s">
        <v>445</v>
      </c>
      <c r="R3" s="59">
        <v>18021.647326999999</v>
      </c>
      <c r="S3" t="s">
        <v>450</v>
      </c>
      <c r="T3" t="s">
        <v>445</v>
      </c>
    </row>
    <row r="4" spans="1:20" x14ac:dyDescent="0.2">
      <c r="A4" s="44">
        <v>2021</v>
      </c>
      <c r="B4" s="44" t="s">
        <v>442</v>
      </c>
      <c r="C4" s="44" t="s">
        <v>443</v>
      </c>
      <c r="D4" s="66">
        <v>5893547689</v>
      </c>
      <c r="E4" s="61">
        <v>45601</v>
      </c>
      <c r="F4" s="61">
        <v>7014892</v>
      </c>
      <c r="G4" s="52" t="s">
        <v>445</v>
      </c>
      <c r="H4" s="66">
        <v>129241.6326</v>
      </c>
      <c r="I4" s="66">
        <v>840.1744443</v>
      </c>
      <c r="J4" s="27" t="s">
        <v>445</v>
      </c>
      <c r="K4" s="44">
        <v>344297</v>
      </c>
      <c r="L4" s="42" t="s">
        <v>445</v>
      </c>
      <c r="M4" s="42" t="s">
        <v>445</v>
      </c>
      <c r="N4" s="42" t="s">
        <v>445</v>
      </c>
      <c r="O4" s="42" t="s">
        <v>445</v>
      </c>
      <c r="P4" s="42" t="s">
        <v>445</v>
      </c>
      <c r="Q4" s="58" t="s">
        <v>445</v>
      </c>
      <c r="R4" s="59">
        <v>17117.627189999999</v>
      </c>
      <c r="S4" t="s">
        <v>450</v>
      </c>
      <c r="T4" t="s">
        <v>445</v>
      </c>
    </row>
    <row r="5" spans="1:20" x14ac:dyDescent="0.2">
      <c r="A5" s="42">
        <v>2020</v>
      </c>
      <c r="B5" s="42" t="s">
        <v>442</v>
      </c>
      <c r="C5" s="42" t="s">
        <v>443</v>
      </c>
      <c r="D5" s="52">
        <v>5356050275</v>
      </c>
      <c r="E5" s="60">
        <v>43747</v>
      </c>
      <c r="F5" s="60">
        <v>6742991</v>
      </c>
      <c r="G5" s="52" t="s">
        <v>445</v>
      </c>
      <c r="H5" s="52">
        <v>122432.4016</v>
      </c>
      <c r="I5" s="52">
        <v>794.32802649999996</v>
      </c>
      <c r="J5" s="27" t="s">
        <v>445</v>
      </c>
      <c r="K5" s="42">
        <v>329864</v>
      </c>
      <c r="L5" s="42" t="s">
        <v>445</v>
      </c>
      <c r="M5" s="42" t="s">
        <v>445</v>
      </c>
      <c r="N5" s="42" t="s">
        <v>445</v>
      </c>
      <c r="O5" s="42" t="s">
        <v>445</v>
      </c>
      <c r="P5" s="42" t="s">
        <v>445</v>
      </c>
      <c r="Q5" s="58" t="s">
        <v>445</v>
      </c>
      <c r="R5">
        <v>16237.14705</v>
      </c>
      <c r="S5" t="s">
        <v>450</v>
      </c>
      <c r="T5" t="s">
        <v>445</v>
      </c>
    </row>
    <row r="6" spans="1:20" x14ac:dyDescent="0.2">
      <c r="A6" s="44">
        <v>2019</v>
      </c>
      <c r="B6" s="44" t="s">
        <v>442</v>
      </c>
      <c r="C6" s="44" t="s">
        <v>443</v>
      </c>
      <c r="D6" s="66">
        <v>4673095052</v>
      </c>
      <c r="E6" s="61">
        <v>42209</v>
      </c>
      <c r="F6" s="61">
        <v>6267746</v>
      </c>
      <c r="G6" s="52" t="s">
        <v>445</v>
      </c>
      <c r="H6" s="66">
        <v>110713.2377</v>
      </c>
      <c r="I6" s="66">
        <v>745.58849599999996</v>
      </c>
      <c r="J6" s="27" t="s">
        <v>445</v>
      </c>
      <c r="K6" s="44">
        <v>307890</v>
      </c>
      <c r="L6" s="42" t="s">
        <v>445</v>
      </c>
      <c r="M6" s="42" t="s">
        <v>445</v>
      </c>
      <c r="N6" s="42" t="s">
        <v>445</v>
      </c>
      <c r="O6" s="42" t="s">
        <v>445</v>
      </c>
      <c r="P6" s="42" t="s">
        <v>445</v>
      </c>
      <c r="Q6" s="58" t="s">
        <v>445</v>
      </c>
      <c r="R6" s="59">
        <v>15177.80718</v>
      </c>
      <c r="S6" t="s">
        <v>450</v>
      </c>
      <c r="T6" t="s">
        <v>445</v>
      </c>
    </row>
    <row r="7" spans="1:20" x14ac:dyDescent="0.2">
      <c r="A7" s="37">
        <v>2018</v>
      </c>
      <c r="B7" s="36" t="s">
        <v>442</v>
      </c>
      <c r="C7" s="37" t="s">
        <v>443</v>
      </c>
      <c r="D7" s="67">
        <v>4064871916</v>
      </c>
      <c r="E7" s="62">
        <v>39454</v>
      </c>
      <c r="F7" s="62">
        <v>5828985</v>
      </c>
      <c r="G7" s="39" t="s">
        <v>445</v>
      </c>
      <c r="H7" s="67">
        <v>103028.13189999999</v>
      </c>
      <c r="I7" s="67">
        <v>697.35425120000002</v>
      </c>
      <c r="J7" s="41" t="s">
        <v>445</v>
      </c>
      <c r="K7" s="37">
        <v>285915</v>
      </c>
      <c r="L7" t="s">
        <v>445</v>
      </c>
      <c r="M7" t="s">
        <v>445</v>
      </c>
      <c r="N7" t="s">
        <v>445</v>
      </c>
      <c r="O7" t="s">
        <v>445</v>
      </c>
      <c r="P7" t="s">
        <v>445</v>
      </c>
      <c r="Q7" t="s">
        <v>445</v>
      </c>
      <c r="R7" s="37">
        <v>14217.06422</v>
      </c>
      <c r="S7" t="s">
        <v>450</v>
      </c>
      <c r="T7" t="s">
        <v>445</v>
      </c>
    </row>
    <row r="8" spans="1:20" x14ac:dyDescent="0.2">
      <c r="A8" s="34">
        <v>2017</v>
      </c>
      <c r="B8" s="33" t="s">
        <v>442</v>
      </c>
      <c r="C8" s="34" t="s">
        <v>443</v>
      </c>
      <c r="D8" s="68">
        <v>3311187483</v>
      </c>
      <c r="E8" s="63">
        <v>37415</v>
      </c>
      <c r="F8" s="63">
        <v>5281270.99</v>
      </c>
      <c r="G8" s="39" t="s">
        <v>445</v>
      </c>
      <c r="H8" s="68">
        <v>88498.93045</v>
      </c>
      <c r="I8" s="68">
        <v>626.92601479999996</v>
      </c>
      <c r="J8" s="41" t="s">
        <v>445</v>
      </c>
      <c r="K8" s="34">
        <v>259573</v>
      </c>
      <c r="L8" t="s">
        <v>445</v>
      </c>
      <c r="M8" t="s">
        <v>445</v>
      </c>
      <c r="N8" t="s">
        <v>445</v>
      </c>
      <c r="O8" t="s">
        <v>445</v>
      </c>
      <c r="P8" t="s">
        <v>445</v>
      </c>
      <c r="Q8" t="s">
        <v>445</v>
      </c>
      <c r="R8" s="34">
        <v>12756.28622</v>
      </c>
      <c r="S8" t="s">
        <v>450</v>
      </c>
      <c r="T8" t="s">
        <v>445</v>
      </c>
    </row>
    <row r="9" spans="1:20" x14ac:dyDescent="0.2">
      <c r="A9" s="34">
        <v>2016</v>
      </c>
      <c r="B9" s="33" t="s">
        <v>442</v>
      </c>
      <c r="C9" s="34" t="s">
        <v>443</v>
      </c>
      <c r="D9" s="68">
        <v>2661152949</v>
      </c>
      <c r="E9" s="63">
        <v>35369</v>
      </c>
      <c r="F9" s="63">
        <v>4895379</v>
      </c>
      <c r="G9" s="39" t="s">
        <v>445</v>
      </c>
      <c r="H9" s="68">
        <v>75239.699980000005</v>
      </c>
      <c r="I9" s="68">
        <v>543.5911711</v>
      </c>
      <c r="J9" s="41" t="s">
        <v>445</v>
      </c>
      <c r="K9" s="34">
        <v>239052</v>
      </c>
      <c r="L9" t="s">
        <v>445</v>
      </c>
      <c r="M9" t="s">
        <v>445</v>
      </c>
      <c r="N9" t="s">
        <v>445</v>
      </c>
      <c r="O9" t="s">
        <v>445</v>
      </c>
      <c r="P9" t="s">
        <v>445</v>
      </c>
      <c r="Q9" t="s">
        <v>445</v>
      </c>
      <c r="R9" s="34">
        <v>11132.109119999999</v>
      </c>
      <c r="S9" t="s">
        <v>450</v>
      </c>
      <c r="T9" t="s">
        <v>445</v>
      </c>
    </row>
    <row r="10" spans="1:20" x14ac:dyDescent="0.2">
      <c r="A10" s="37">
        <v>2015</v>
      </c>
      <c r="B10" s="36" t="s">
        <v>442</v>
      </c>
      <c r="C10" s="37" t="s">
        <v>443</v>
      </c>
      <c r="D10" s="67">
        <v>2077425469</v>
      </c>
      <c r="E10" s="62">
        <v>30453</v>
      </c>
      <c r="F10" s="62">
        <v>4240329.9979999997</v>
      </c>
      <c r="G10" s="39" t="s">
        <v>445</v>
      </c>
      <c r="H10" s="67">
        <v>68217.432400000005</v>
      </c>
      <c r="I10" s="67">
        <v>489.92070660000002</v>
      </c>
      <c r="J10" s="41" t="s">
        <v>445</v>
      </c>
      <c r="K10" s="37">
        <v>204834</v>
      </c>
      <c r="L10" t="s">
        <v>445</v>
      </c>
      <c r="M10" t="s">
        <v>445</v>
      </c>
      <c r="N10" t="s">
        <v>445</v>
      </c>
      <c r="O10" t="s">
        <v>445</v>
      </c>
      <c r="P10" t="s">
        <v>445</v>
      </c>
      <c r="Q10" t="s">
        <v>445</v>
      </c>
      <c r="R10" s="37">
        <v>10141.99532</v>
      </c>
      <c r="S10" t="s">
        <v>450</v>
      </c>
      <c r="T10" t="s">
        <v>445</v>
      </c>
    </row>
    <row r="11" spans="1:20" x14ac:dyDescent="0.2">
      <c r="A11" s="43">
        <v>2014</v>
      </c>
      <c r="B11" s="46" t="s">
        <v>442</v>
      </c>
      <c r="C11" s="43" t="s">
        <v>443</v>
      </c>
      <c r="D11" s="48">
        <v>1671622656.6900101</v>
      </c>
      <c r="E11" s="64">
        <v>27143</v>
      </c>
      <c r="F11" s="64">
        <v>3707616</v>
      </c>
      <c r="G11" s="53">
        <v>82121407.279999092</v>
      </c>
      <c r="H11" s="48">
        <v>61585.773742401732</v>
      </c>
      <c r="I11" s="48">
        <v>450.86186290328072</v>
      </c>
      <c r="J11" s="55" t="s">
        <v>445</v>
      </c>
      <c r="K11" s="50">
        <v>178377</v>
      </c>
      <c r="L11" s="56">
        <v>6319</v>
      </c>
      <c r="M11" s="56">
        <v>20824</v>
      </c>
      <c r="N11" s="53">
        <v>984710.5599999862</v>
      </c>
      <c r="O11" s="53">
        <v>81136696.719999105</v>
      </c>
      <c r="P11" s="53">
        <v>155.8332900775417</v>
      </c>
      <c r="Q11" s="53">
        <v>3896.306988090621</v>
      </c>
      <c r="R11" s="37"/>
      <c r="S11" t="s">
        <v>449</v>
      </c>
    </row>
    <row r="12" spans="1:20" x14ac:dyDescent="0.2">
      <c r="A12" s="45">
        <v>2013</v>
      </c>
      <c r="B12" s="47" t="s">
        <v>442</v>
      </c>
      <c r="C12" s="45" t="s">
        <v>443</v>
      </c>
      <c r="D12" s="49">
        <v>1349964592.2699969</v>
      </c>
      <c r="E12" s="65">
        <v>24637</v>
      </c>
      <c r="F12" s="65">
        <v>3227606</v>
      </c>
      <c r="G12" s="54">
        <v>70445320.950001657</v>
      </c>
      <c r="H12" s="49">
        <v>54794.195408125852</v>
      </c>
      <c r="I12" s="49">
        <v>418.25569548141772</v>
      </c>
      <c r="J12" s="41" t="s">
        <v>445</v>
      </c>
      <c r="K12" s="51">
        <v>153782</v>
      </c>
      <c r="L12" s="57">
        <v>6019</v>
      </c>
      <c r="M12" s="57">
        <v>18618</v>
      </c>
      <c r="N12" s="54">
        <v>869863.71999996423</v>
      </c>
      <c r="O12" s="54">
        <v>69575457.230001688</v>
      </c>
      <c r="P12" s="54">
        <v>144.51964113639539</v>
      </c>
      <c r="Q12" s="54">
        <v>3736.9995289505691</v>
      </c>
      <c r="R12" s="37"/>
      <c r="S12" t="s">
        <v>449</v>
      </c>
      <c r="T12" t="s">
        <v>445</v>
      </c>
    </row>
    <row r="13" spans="1:20" x14ac:dyDescent="0.2">
      <c r="A13" s="43">
        <v>2012</v>
      </c>
      <c r="B13" s="46" t="s">
        <v>442</v>
      </c>
      <c r="C13" s="43" t="s">
        <v>443</v>
      </c>
      <c r="D13" s="48">
        <v>1017195339.299997</v>
      </c>
      <c r="E13" s="64">
        <v>20391</v>
      </c>
      <c r="F13" s="64">
        <v>2612956.25</v>
      </c>
      <c r="G13" s="53">
        <v>59667104.699998878</v>
      </c>
      <c r="H13" s="48">
        <v>49884.524510813448</v>
      </c>
      <c r="I13" s="48">
        <v>389.28908178236708</v>
      </c>
      <c r="J13" s="55" t="s">
        <v>445</v>
      </c>
      <c r="K13" s="50">
        <v>124546</v>
      </c>
      <c r="L13" s="56">
        <v>5572</v>
      </c>
      <c r="M13" s="56">
        <v>14819</v>
      </c>
      <c r="N13" s="53">
        <v>826135.25000001991</v>
      </c>
      <c r="O13" s="53">
        <v>58840969.449998863</v>
      </c>
      <c r="P13" s="53">
        <v>148.26547918162601</v>
      </c>
      <c r="Q13" s="53">
        <v>3970.6437310209089</v>
      </c>
      <c r="R13" s="37"/>
      <c r="S13" t="s">
        <v>449</v>
      </c>
      <c r="T13" t="s">
        <v>445</v>
      </c>
    </row>
    <row r="14" spans="1:20" x14ac:dyDescent="0.2">
      <c r="A14" s="45">
        <v>2011</v>
      </c>
      <c r="B14" s="47" t="s">
        <v>442</v>
      </c>
      <c r="C14" s="45" t="s">
        <v>443</v>
      </c>
      <c r="D14" s="49">
        <v>809102527.62997615</v>
      </c>
      <c r="E14" s="65">
        <v>17844</v>
      </c>
      <c r="F14" s="65">
        <v>2205662</v>
      </c>
      <c r="G14" s="54">
        <v>49069914.20999819</v>
      </c>
      <c r="H14" s="49">
        <v>45343.114079240993</v>
      </c>
      <c r="I14" s="49">
        <v>366.82978970938262</v>
      </c>
      <c r="J14" s="41" t="s">
        <v>445</v>
      </c>
      <c r="K14" s="51">
        <v>104141</v>
      </c>
      <c r="L14" s="57">
        <v>5008</v>
      </c>
      <c r="M14" s="57">
        <v>12836</v>
      </c>
      <c r="N14" s="54">
        <v>772615.54000002902</v>
      </c>
      <c r="O14" s="54">
        <v>48297298.669998161</v>
      </c>
      <c r="P14" s="54">
        <v>154.27626597444669</v>
      </c>
      <c r="Q14" s="54">
        <v>3762.644022280941</v>
      </c>
      <c r="R14" s="37"/>
      <c r="S14" t="s">
        <v>449</v>
      </c>
    </row>
    <row r="15" spans="1:20" x14ac:dyDescent="0.2">
      <c r="A15" s="43">
        <v>2010</v>
      </c>
      <c r="B15" s="46" t="s">
        <v>442</v>
      </c>
      <c r="C15" s="43" t="s">
        <v>443</v>
      </c>
      <c r="D15" s="48">
        <v>596556443.92999709</v>
      </c>
      <c r="E15" s="64">
        <v>14670</v>
      </c>
      <c r="F15" s="64">
        <v>1703090</v>
      </c>
      <c r="G15" s="53">
        <v>53532051.789997771</v>
      </c>
      <c r="H15" s="48">
        <v>40665.060935923459</v>
      </c>
      <c r="I15" s="48">
        <v>350.27887189167751</v>
      </c>
      <c r="J15" s="55" t="s">
        <v>445</v>
      </c>
      <c r="K15" s="50">
        <v>80350</v>
      </c>
      <c r="L15" s="56">
        <v>4204</v>
      </c>
      <c r="M15" s="56">
        <v>10466</v>
      </c>
      <c r="N15" s="53">
        <v>908060.97000005189</v>
      </c>
      <c r="O15" s="53">
        <v>52623990.81999772</v>
      </c>
      <c r="P15" s="53">
        <v>215.99927925786201</v>
      </c>
      <c r="Q15" s="53">
        <v>5028.0900840815711</v>
      </c>
      <c r="R15" s="37"/>
      <c r="S15" t="s">
        <v>449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5C68-E0BE-5340-B001-E08E1B8F64B3}">
  <dimension ref="A1:AT36"/>
  <sheetViews>
    <sheetView tabSelected="1" topLeftCell="A14" workbookViewId="0">
      <selection activeCell="A21" sqref="A21:B36"/>
    </sheetView>
  </sheetViews>
  <sheetFormatPr baseColWidth="10" defaultRowHeight="16" x14ac:dyDescent="0.2"/>
  <cols>
    <col min="4" max="4" width="18.33203125" bestFit="1" customWidth="1"/>
    <col min="5" max="5" width="22" bestFit="1" customWidth="1"/>
    <col min="8" max="8" width="44.5" bestFit="1" customWidth="1"/>
  </cols>
  <sheetData>
    <row r="1" spans="1:46" x14ac:dyDescent="0.2">
      <c r="A1" s="30" t="s">
        <v>452</v>
      </c>
      <c r="B1" s="31" t="s">
        <v>453</v>
      </c>
      <c r="C1" s="31" t="s">
        <v>454</v>
      </c>
      <c r="D1" s="31" t="s">
        <v>455</v>
      </c>
      <c r="E1" s="31" t="s">
        <v>456</v>
      </c>
      <c r="F1" s="31" t="s">
        <v>457</v>
      </c>
      <c r="G1" s="31" t="s">
        <v>458</v>
      </c>
      <c r="H1" s="31" t="s">
        <v>459</v>
      </c>
      <c r="I1" s="31" t="s">
        <v>460</v>
      </c>
      <c r="J1" s="31" t="s">
        <v>461</v>
      </c>
      <c r="K1" s="31" t="s">
        <v>462</v>
      </c>
      <c r="L1" s="31" t="s">
        <v>463</v>
      </c>
      <c r="M1" s="31" t="s">
        <v>464</v>
      </c>
      <c r="N1" s="31" t="s">
        <v>465</v>
      </c>
      <c r="O1" s="31" t="s">
        <v>466</v>
      </c>
      <c r="P1" s="31" t="s">
        <v>467</v>
      </c>
      <c r="Q1" s="31" t="s">
        <v>468</v>
      </c>
      <c r="R1" s="31" t="s">
        <v>469</v>
      </c>
      <c r="S1" s="31" t="s">
        <v>470</v>
      </c>
      <c r="T1" s="31" t="s">
        <v>471</v>
      </c>
      <c r="U1" s="31" t="s">
        <v>472</v>
      </c>
      <c r="V1" s="31" t="s">
        <v>473</v>
      </c>
      <c r="W1" s="31" t="s">
        <v>474</v>
      </c>
      <c r="X1" s="31" t="s">
        <v>475</v>
      </c>
      <c r="Y1" s="31" t="s">
        <v>476</v>
      </c>
      <c r="Z1" s="31" t="s">
        <v>477</v>
      </c>
      <c r="AA1" s="31" t="s">
        <v>478</v>
      </c>
      <c r="AB1" s="31" t="s">
        <v>479</v>
      </c>
      <c r="AC1" s="31" t="s">
        <v>480</v>
      </c>
      <c r="AD1" s="31" t="s">
        <v>481</v>
      </c>
      <c r="AE1" s="31" t="s">
        <v>482</v>
      </c>
      <c r="AF1" s="31" t="s">
        <v>483</v>
      </c>
      <c r="AG1" s="31" t="s">
        <v>484</v>
      </c>
      <c r="AH1" s="31" t="s">
        <v>485</v>
      </c>
      <c r="AI1" s="31" t="s">
        <v>486</v>
      </c>
      <c r="AJ1" s="31" t="s">
        <v>487</v>
      </c>
      <c r="AK1" s="31" t="s">
        <v>488</v>
      </c>
      <c r="AL1" s="31" t="s">
        <v>489</v>
      </c>
      <c r="AM1" s="31" t="s">
        <v>490</v>
      </c>
      <c r="AN1" s="31" t="s">
        <v>491</v>
      </c>
      <c r="AO1" s="31" t="s">
        <v>492</v>
      </c>
      <c r="AP1" s="31" t="s">
        <v>493</v>
      </c>
      <c r="AQ1" s="31" t="s">
        <v>494</v>
      </c>
      <c r="AR1" s="31" t="s">
        <v>495</v>
      </c>
      <c r="AS1" s="32" t="s">
        <v>496</v>
      </c>
    </row>
    <row r="2" spans="1:46" x14ac:dyDescent="0.2">
      <c r="A2" s="33" t="s">
        <v>442</v>
      </c>
      <c r="B2" s="34" t="s">
        <v>443</v>
      </c>
      <c r="C2" s="34" t="s">
        <v>447</v>
      </c>
      <c r="D2" s="34">
        <v>4673095052</v>
      </c>
      <c r="E2" s="34">
        <v>6267746</v>
      </c>
      <c r="F2" s="34">
        <v>307890</v>
      </c>
      <c r="G2" s="34">
        <v>42209</v>
      </c>
      <c r="H2" s="34">
        <v>745.58849599999996</v>
      </c>
      <c r="I2" s="34">
        <v>15177.80718</v>
      </c>
      <c r="J2" s="34">
        <v>110713.2377</v>
      </c>
      <c r="K2" s="34">
        <v>0</v>
      </c>
      <c r="L2" s="34">
        <v>5356050275</v>
      </c>
      <c r="M2" s="34">
        <v>6742991</v>
      </c>
      <c r="N2" s="34">
        <v>329864</v>
      </c>
      <c r="O2" s="34">
        <v>43747</v>
      </c>
      <c r="P2" s="34">
        <v>794.32802649999996</v>
      </c>
      <c r="Q2" s="34">
        <v>16237.14705</v>
      </c>
      <c r="R2" s="34">
        <v>122432.4016</v>
      </c>
      <c r="S2" s="34">
        <v>0</v>
      </c>
      <c r="T2" s="34">
        <v>5893547689</v>
      </c>
      <c r="U2" s="34">
        <v>7014892</v>
      </c>
      <c r="V2" s="34">
        <v>344297</v>
      </c>
      <c r="W2" s="34">
        <v>45601</v>
      </c>
      <c r="X2" s="34">
        <v>840.1744443</v>
      </c>
      <c r="Y2" s="34">
        <v>17117.627189999999</v>
      </c>
      <c r="Z2" s="34">
        <v>129241.6326</v>
      </c>
      <c r="AA2" s="34">
        <v>0</v>
      </c>
      <c r="AB2" s="34">
        <v>5935051092</v>
      </c>
      <c r="AC2" s="34">
        <v>6720907</v>
      </c>
      <c r="AD2" s="34">
        <v>329329</v>
      </c>
      <c r="AE2" s="34">
        <v>45557</v>
      </c>
      <c r="AF2" s="34">
        <v>883.09617739999999</v>
      </c>
      <c r="AG2" s="34">
        <v>18021.64733</v>
      </c>
      <c r="AH2" s="34">
        <v>130277.4786</v>
      </c>
      <c r="AI2" s="34">
        <v>0</v>
      </c>
      <c r="AJ2" s="34">
        <v>3859804789</v>
      </c>
      <c r="AK2" s="34">
        <v>4395154</v>
      </c>
      <c r="AL2" s="34">
        <v>216207</v>
      </c>
      <c r="AM2" s="34">
        <v>36967</v>
      </c>
      <c r="AN2" s="34">
        <v>878.21219629999996</v>
      </c>
      <c r="AO2" s="34">
        <v>17852.358100000001</v>
      </c>
      <c r="AP2" s="34">
        <v>104412.1727</v>
      </c>
      <c r="AQ2" s="34">
        <v>0</v>
      </c>
      <c r="AR2" s="34">
        <v>-5.5305199999999997E-3</v>
      </c>
      <c r="AS2" s="35">
        <v>4.1777723000000003E-2</v>
      </c>
    </row>
    <row r="3" spans="1:46" x14ac:dyDescent="0.2">
      <c r="A3" s="30" t="s">
        <v>497</v>
      </c>
      <c r="B3" s="31" t="s">
        <v>498</v>
      </c>
      <c r="C3" s="31" t="s">
        <v>499</v>
      </c>
      <c r="D3" s="31" t="s">
        <v>500</v>
      </c>
      <c r="E3" s="31" t="s">
        <v>501</v>
      </c>
      <c r="F3" s="31" t="s">
        <v>502</v>
      </c>
      <c r="G3" s="31" t="s">
        <v>503</v>
      </c>
      <c r="H3" s="31" t="s">
        <v>504</v>
      </c>
      <c r="I3" s="31" t="s">
        <v>505</v>
      </c>
      <c r="J3" s="31" t="s">
        <v>506</v>
      </c>
      <c r="K3" s="31" t="s">
        <v>507</v>
      </c>
      <c r="L3" s="31" t="s">
        <v>508</v>
      </c>
      <c r="M3" s="31" t="s">
        <v>509</v>
      </c>
      <c r="N3" s="31" t="s">
        <v>510</v>
      </c>
      <c r="O3" s="31" t="s">
        <v>511</v>
      </c>
      <c r="P3" s="31" t="s">
        <v>512</v>
      </c>
      <c r="Q3" s="31" t="s">
        <v>513</v>
      </c>
      <c r="R3" s="31" t="s">
        <v>514</v>
      </c>
      <c r="S3" s="31" t="s">
        <v>515</v>
      </c>
      <c r="T3" s="31" t="s">
        <v>516</v>
      </c>
      <c r="U3" s="31" t="s">
        <v>517</v>
      </c>
      <c r="V3" s="31" t="s">
        <v>518</v>
      </c>
      <c r="W3" s="31" t="s">
        <v>519</v>
      </c>
      <c r="X3" s="31" t="s">
        <v>520</v>
      </c>
      <c r="Y3" s="31" t="s">
        <v>521</v>
      </c>
      <c r="Z3" s="31" t="s">
        <v>522</v>
      </c>
      <c r="AA3" s="31" t="s">
        <v>523</v>
      </c>
      <c r="AB3" s="31" t="s">
        <v>524</v>
      </c>
      <c r="AC3" s="31" t="s">
        <v>525</v>
      </c>
      <c r="AD3" s="31" t="s">
        <v>526</v>
      </c>
      <c r="AE3" s="31" t="s">
        <v>527</v>
      </c>
      <c r="AF3" s="31" t="s">
        <v>528</v>
      </c>
      <c r="AG3" s="31" t="s">
        <v>529</v>
      </c>
      <c r="AH3" s="31" t="s">
        <v>530</v>
      </c>
      <c r="AI3" s="31" t="s">
        <v>531</v>
      </c>
      <c r="AJ3" s="31" t="s">
        <v>532</v>
      </c>
      <c r="AK3" s="31" t="s">
        <v>533</v>
      </c>
      <c r="AL3" s="31" t="s">
        <v>534</v>
      </c>
      <c r="AM3" s="31" t="s">
        <v>535</v>
      </c>
      <c r="AN3" s="31" t="s">
        <v>536</v>
      </c>
      <c r="AO3" s="31" t="s">
        <v>537</v>
      </c>
      <c r="AP3" s="31" t="s">
        <v>538</v>
      </c>
      <c r="AQ3" s="31" t="s">
        <v>539</v>
      </c>
      <c r="AR3" s="31" t="s">
        <v>540</v>
      </c>
      <c r="AS3" s="31" t="s">
        <v>541</v>
      </c>
      <c r="AT3" s="32" t="s">
        <v>542</v>
      </c>
    </row>
    <row r="4" spans="1:46" x14ac:dyDescent="0.2">
      <c r="A4" s="33" t="s">
        <v>442</v>
      </c>
      <c r="B4" s="34" t="s">
        <v>443</v>
      </c>
      <c r="C4" s="34">
        <v>1</v>
      </c>
      <c r="D4" s="34" t="s">
        <v>543</v>
      </c>
      <c r="E4" s="34">
        <v>3311187483</v>
      </c>
      <c r="F4" s="34">
        <v>5281270.99</v>
      </c>
      <c r="G4" s="34">
        <v>259573</v>
      </c>
      <c r="H4" s="34">
        <v>37415</v>
      </c>
      <c r="I4" s="34">
        <v>626.92601479999996</v>
      </c>
      <c r="J4" s="34">
        <v>12756.28622</v>
      </c>
      <c r="K4" s="34">
        <v>88498.93045</v>
      </c>
      <c r="L4" s="34">
        <v>0</v>
      </c>
      <c r="M4" s="34">
        <v>4064871916</v>
      </c>
      <c r="N4" s="34">
        <v>5828985</v>
      </c>
      <c r="O4" s="34">
        <v>285915</v>
      </c>
      <c r="P4" s="34">
        <v>39454</v>
      </c>
      <c r="Q4" s="34">
        <v>697.35425120000002</v>
      </c>
      <c r="R4" s="34">
        <v>14217.06422</v>
      </c>
      <c r="S4" s="34">
        <v>103028.13189999999</v>
      </c>
      <c r="T4" s="34">
        <v>0</v>
      </c>
      <c r="U4" s="34">
        <v>4673095052</v>
      </c>
      <c r="V4" s="34">
        <v>6267746</v>
      </c>
      <c r="W4" s="34">
        <v>307890</v>
      </c>
      <c r="X4" s="34">
        <v>42209</v>
      </c>
      <c r="Y4" s="34">
        <v>745.58849599999996</v>
      </c>
      <c r="Z4" s="34">
        <v>15177.80718</v>
      </c>
      <c r="AA4" s="34">
        <v>110713.2377</v>
      </c>
      <c r="AB4" s="34">
        <v>0</v>
      </c>
      <c r="AC4" s="34">
        <v>5356050275</v>
      </c>
      <c r="AD4" s="34">
        <v>6742991</v>
      </c>
      <c r="AE4" s="34">
        <v>329864</v>
      </c>
      <c r="AF4" s="34">
        <v>43747</v>
      </c>
      <c r="AG4" s="34">
        <v>794.32802649999996</v>
      </c>
      <c r="AH4" s="34">
        <v>16237.14705</v>
      </c>
      <c r="AI4" s="34">
        <v>122432.4016</v>
      </c>
      <c r="AJ4" s="34">
        <v>0</v>
      </c>
      <c r="AK4" s="34">
        <v>5893547689</v>
      </c>
      <c r="AL4" s="34">
        <v>7014892</v>
      </c>
      <c r="AM4" s="34">
        <v>344297</v>
      </c>
      <c r="AN4" s="34">
        <v>45601</v>
      </c>
      <c r="AO4" s="34">
        <v>840.1744443</v>
      </c>
      <c r="AP4" s="34">
        <v>17117.627189999999</v>
      </c>
      <c r="AQ4" s="34">
        <v>129241.6326</v>
      </c>
      <c r="AR4" s="34">
        <v>0</v>
      </c>
      <c r="AS4" s="34">
        <v>5.7717235999999998E-2</v>
      </c>
      <c r="AT4" s="35">
        <v>7.5940595999999999E-2</v>
      </c>
    </row>
    <row r="5" spans="1:46" x14ac:dyDescent="0.2">
      <c r="A5" s="36" t="s">
        <v>442</v>
      </c>
      <c r="B5" s="37" t="s">
        <v>443</v>
      </c>
      <c r="C5" s="37">
        <v>1</v>
      </c>
      <c r="D5" s="37" t="s">
        <v>447</v>
      </c>
      <c r="E5" s="37">
        <v>3311187483</v>
      </c>
      <c r="F5" s="37">
        <v>5281270.99</v>
      </c>
      <c r="G5" s="37">
        <v>259573</v>
      </c>
      <c r="H5" s="37">
        <v>37415</v>
      </c>
      <c r="I5" s="37">
        <v>626.92601479999996</v>
      </c>
      <c r="J5" s="37">
        <v>12756.28622</v>
      </c>
      <c r="K5" s="37">
        <v>88498.93045</v>
      </c>
      <c r="L5" s="37">
        <v>0</v>
      </c>
      <c r="M5" s="37">
        <v>4064871916</v>
      </c>
      <c r="N5" s="37">
        <v>5828985</v>
      </c>
      <c r="O5" s="37">
        <v>285915</v>
      </c>
      <c r="P5" s="37">
        <v>39454</v>
      </c>
      <c r="Q5" s="37">
        <v>697.35425120000002</v>
      </c>
      <c r="R5" s="37">
        <v>14217.06422</v>
      </c>
      <c r="S5" s="37">
        <v>103028.13189999999</v>
      </c>
      <c r="T5" s="37">
        <v>0</v>
      </c>
      <c r="U5" s="37">
        <v>4673095052</v>
      </c>
      <c r="V5" s="37">
        <v>6267746</v>
      </c>
      <c r="W5" s="37">
        <v>307890</v>
      </c>
      <c r="X5" s="37">
        <v>42209</v>
      </c>
      <c r="Y5" s="37">
        <v>745.58849599999996</v>
      </c>
      <c r="Z5" s="37">
        <v>15177.80718</v>
      </c>
      <c r="AA5" s="37">
        <v>110713.2377</v>
      </c>
      <c r="AB5" s="37">
        <v>0</v>
      </c>
      <c r="AC5" s="37">
        <v>5356050275</v>
      </c>
      <c r="AD5" s="37">
        <v>6742991</v>
      </c>
      <c r="AE5" s="37">
        <v>329864</v>
      </c>
      <c r="AF5" s="37">
        <v>43747</v>
      </c>
      <c r="AG5" s="37">
        <v>794.32802649999996</v>
      </c>
      <c r="AH5" s="37">
        <v>16237.14705</v>
      </c>
      <c r="AI5" s="37">
        <v>122432.4016</v>
      </c>
      <c r="AJ5" s="37">
        <v>0</v>
      </c>
      <c r="AK5" s="37">
        <v>5893547689</v>
      </c>
      <c r="AL5" s="37">
        <v>7014892</v>
      </c>
      <c r="AM5" s="37">
        <v>344297</v>
      </c>
      <c r="AN5" s="37">
        <v>45601</v>
      </c>
      <c r="AO5" s="37">
        <v>840.1744443</v>
      </c>
      <c r="AP5" s="37">
        <v>17117.627189999999</v>
      </c>
      <c r="AQ5" s="37">
        <v>129241.6326</v>
      </c>
      <c r="AR5" s="37">
        <v>0</v>
      </c>
      <c r="AS5" s="37">
        <v>5.7717235999999998E-2</v>
      </c>
      <c r="AT5" s="38">
        <v>7.5940595999999999E-2</v>
      </c>
    </row>
    <row r="7" spans="1:46" ht="17" thickBot="1" x14ac:dyDescent="0.25"/>
    <row r="8" spans="1:46" ht="17" thickBot="1" x14ac:dyDescent="0.25">
      <c r="D8" s="90" t="s">
        <v>544</v>
      </c>
      <c r="E8" s="91"/>
      <c r="F8" s="91"/>
      <c r="G8" s="91"/>
      <c r="H8" s="91"/>
      <c r="I8" s="91"/>
      <c r="J8" s="92"/>
      <c r="K8" s="90" t="s">
        <v>545</v>
      </c>
      <c r="L8" s="91"/>
      <c r="M8" s="91"/>
      <c r="N8" s="91"/>
      <c r="O8" s="91"/>
      <c r="P8" s="91"/>
      <c r="Q8" s="92"/>
      <c r="R8" s="90" t="s">
        <v>546</v>
      </c>
      <c r="S8" s="91"/>
      <c r="T8" s="91"/>
      <c r="U8" s="91"/>
      <c r="V8" s="91"/>
      <c r="W8" s="91"/>
      <c r="X8" s="92"/>
      <c r="Y8" s="90" t="s">
        <v>547</v>
      </c>
      <c r="Z8" s="91"/>
      <c r="AA8" s="91"/>
      <c r="AB8" s="91"/>
      <c r="AC8" s="91"/>
      <c r="AD8" s="91"/>
      <c r="AE8" s="92"/>
      <c r="AF8" s="90" t="s">
        <v>548</v>
      </c>
      <c r="AG8" s="91"/>
      <c r="AH8" s="91"/>
      <c r="AI8" s="91"/>
      <c r="AJ8" s="91"/>
      <c r="AK8" s="91"/>
      <c r="AL8" s="92"/>
      <c r="AM8" s="88" t="s">
        <v>549</v>
      </c>
      <c r="AN8" s="89"/>
    </row>
    <row r="9" spans="1:46" ht="112" x14ac:dyDescent="0.2">
      <c r="A9" s="69" t="s">
        <v>425</v>
      </c>
      <c r="B9" s="70" t="s">
        <v>426</v>
      </c>
      <c r="C9" s="71" t="s">
        <v>550</v>
      </c>
      <c r="D9" s="72" t="s">
        <v>428</v>
      </c>
      <c r="E9" s="73" t="s">
        <v>551</v>
      </c>
      <c r="F9" s="73" t="s">
        <v>552</v>
      </c>
      <c r="G9" s="73" t="s">
        <v>553</v>
      </c>
      <c r="H9" s="74" t="s">
        <v>554</v>
      </c>
      <c r="I9" s="74" t="s">
        <v>555</v>
      </c>
      <c r="J9" s="75" t="s">
        <v>556</v>
      </c>
      <c r="K9" s="72" t="s">
        <v>428</v>
      </c>
      <c r="L9" s="73" t="s">
        <v>551</v>
      </c>
      <c r="M9" s="73" t="s">
        <v>552</v>
      </c>
      <c r="N9" s="73" t="s">
        <v>553</v>
      </c>
      <c r="O9" s="74" t="s">
        <v>554</v>
      </c>
      <c r="P9" s="74" t="s">
        <v>555</v>
      </c>
      <c r="Q9" s="75" t="s">
        <v>556</v>
      </c>
      <c r="R9" s="72" t="s">
        <v>428</v>
      </c>
      <c r="S9" s="73" t="s">
        <v>551</v>
      </c>
      <c r="T9" s="73" t="s">
        <v>552</v>
      </c>
      <c r="U9" s="73" t="s">
        <v>553</v>
      </c>
      <c r="V9" s="74" t="s">
        <v>554</v>
      </c>
      <c r="W9" s="74" t="s">
        <v>555</v>
      </c>
      <c r="X9" s="75" t="s">
        <v>556</v>
      </c>
      <c r="Y9" s="72" t="s">
        <v>428</v>
      </c>
      <c r="Z9" s="73" t="s">
        <v>551</v>
      </c>
      <c r="AA9" s="73" t="s">
        <v>552</v>
      </c>
      <c r="AB9" s="73" t="s">
        <v>553</v>
      </c>
      <c r="AC9" s="74" t="s">
        <v>554</v>
      </c>
      <c r="AD9" s="74" t="s">
        <v>555</v>
      </c>
      <c r="AE9" s="75" t="s">
        <v>556</v>
      </c>
      <c r="AF9" s="72" t="s">
        <v>428</v>
      </c>
      <c r="AG9" s="73" t="s">
        <v>551</v>
      </c>
      <c r="AH9" s="73" t="s">
        <v>552</v>
      </c>
      <c r="AI9" s="73" t="s">
        <v>553</v>
      </c>
      <c r="AJ9" s="74" t="s">
        <v>554</v>
      </c>
      <c r="AK9" s="74" t="s">
        <v>555</v>
      </c>
      <c r="AL9" s="75" t="s">
        <v>556</v>
      </c>
      <c r="AM9" s="76" t="s">
        <v>557</v>
      </c>
      <c r="AN9" s="75" t="s">
        <v>558</v>
      </c>
    </row>
    <row r="10" spans="1:46" x14ac:dyDescent="0.2">
      <c r="A10" s="77" t="s">
        <v>442</v>
      </c>
      <c r="B10" s="78" t="s">
        <v>443</v>
      </c>
      <c r="C10" s="79">
        <v>1</v>
      </c>
      <c r="D10" s="80">
        <v>1349964592.3</v>
      </c>
      <c r="E10" s="81">
        <v>3227606</v>
      </c>
      <c r="F10" s="81">
        <v>153782</v>
      </c>
      <c r="G10" s="81">
        <v>24636</v>
      </c>
      <c r="H10" s="82">
        <v>418.39983108000001</v>
      </c>
      <c r="I10" s="82">
        <v>8778.4304553000002</v>
      </c>
      <c r="J10" s="83">
        <v>54796.419560000002</v>
      </c>
      <c r="K10" s="80">
        <v>1671622656.7</v>
      </c>
      <c r="L10" s="81">
        <v>3707616</v>
      </c>
      <c r="M10" s="81">
        <v>178377</v>
      </c>
      <c r="N10" s="81">
        <v>27143</v>
      </c>
      <c r="O10" s="82">
        <v>450.96503587000001</v>
      </c>
      <c r="P10" s="82">
        <v>9371.2903384000001</v>
      </c>
      <c r="Q10" s="83">
        <v>61585.773741999998</v>
      </c>
      <c r="R10" s="80">
        <v>2077425468.9000001</v>
      </c>
      <c r="S10" s="81">
        <v>4240329.9979999997</v>
      </c>
      <c r="T10" s="81">
        <v>204870</v>
      </c>
      <c r="U10" s="81">
        <v>30453</v>
      </c>
      <c r="V10" s="82">
        <v>489.91125238000001</v>
      </c>
      <c r="W10" s="82">
        <v>10140.213153999999</v>
      </c>
      <c r="X10" s="83">
        <v>68217.432400999998</v>
      </c>
      <c r="Y10" s="80">
        <v>2661602600</v>
      </c>
      <c r="Z10" s="81">
        <v>4896215</v>
      </c>
      <c r="AA10" s="81">
        <v>239093</v>
      </c>
      <c r="AB10" s="81">
        <v>35376</v>
      </c>
      <c r="AC10" s="82">
        <v>543.59019733000002</v>
      </c>
      <c r="AD10" s="82">
        <v>11132.080822</v>
      </c>
      <c r="AE10" s="83">
        <v>75237.522614999994</v>
      </c>
      <c r="AF10" s="80">
        <v>3312773264.1999998</v>
      </c>
      <c r="AG10" s="81">
        <v>5283680.99</v>
      </c>
      <c r="AH10" s="81">
        <v>259693</v>
      </c>
      <c r="AI10" s="81">
        <v>37459</v>
      </c>
      <c r="AJ10" s="82">
        <v>626.94004510000002</v>
      </c>
      <c r="AK10" s="82">
        <v>12756.498111999999</v>
      </c>
      <c r="AL10" s="83">
        <v>88437.311839999995</v>
      </c>
      <c r="AM10" s="84">
        <v>0.15333213909999999</v>
      </c>
      <c r="AN10" s="85">
        <v>0.10639098280000001</v>
      </c>
    </row>
    <row r="14" spans="1:46" ht="64" x14ac:dyDescent="0.2">
      <c r="A14" s="19" t="s">
        <v>424</v>
      </c>
      <c r="B14" s="19" t="s">
        <v>425</v>
      </c>
      <c r="C14" s="19" t="s">
        <v>426</v>
      </c>
      <c r="D14" s="19" t="s">
        <v>427</v>
      </c>
      <c r="E14" s="20" t="s">
        <v>428</v>
      </c>
      <c r="F14" s="20" t="s">
        <v>429</v>
      </c>
      <c r="G14" s="20" t="s">
        <v>430</v>
      </c>
      <c r="H14" s="20" t="s">
        <v>431</v>
      </c>
      <c r="I14" s="20" t="s">
        <v>432</v>
      </c>
      <c r="J14" s="20" t="s">
        <v>433</v>
      </c>
      <c r="K14" s="20" t="s">
        <v>434</v>
      </c>
      <c r="L14" s="20" t="s">
        <v>435</v>
      </c>
      <c r="M14" s="20" t="s">
        <v>436</v>
      </c>
      <c r="N14" s="20" t="s">
        <v>437</v>
      </c>
      <c r="O14" s="20" t="s">
        <v>438</v>
      </c>
      <c r="P14" s="20" t="s">
        <v>439</v>
      </c>
      <c r="Q14" s="20" t="s">
        <v>440</v>
      </c>
      <c r="R14" s="21" t="s">
        <v>441</v>
      </c>
    </row>
    <row r="15" spans="1:46" ht="32" x14ac:dyDescent="0.2">
      <c r="A15" s="22">
        <v>2010</v>
      </c>
      <c r="B15" s="22" t="s">
        <v>442</v>
      </c>
      <c r="C15" s="22" t="s">
        <v>443</v>
      </c>
      <c r="D15" s="22" t="s">
        <v>444</v>
      </c>
      <c r="E15" s="23">
        <v>596556443.92999709</v>
      </c>
      <c r="F15" s="24">
        <v>14670</v>
      </c>
      <c r="G15" s="24">
        <v>1703090</v>
      </c>
      <c r="H15" s="23">
        <v>53532051.789997771</v>
      </c>
      <c r="I15" s="23">
        <v>40665.060935923459</v>
      </c>
      <c r="J15" s="86">
        <v>350.27887189167751</v>
      </c>
      <c r="K15" s="23" t="s">
        <v>445</v>
      </c>
      <c r="L15" s="24">
        <v>80350</v>
      </c>
      <c r="M15" s="24">
        <v>4204</v>
      </c>
      <c r="N15" s="24">
        <v>10466</v>
      </c>
      <c r="O15" s="23">
        <v>908060.97000005189</v>
      </c>
      <c r="P15" s="23">
        <v>52623990.81999772</v>
      </c>
      <c r="Q15" s="23">
        <v>215.99927925786201</v>
      </c>
      <c r="R15" s="25">
        <v>5028.0900840815711</v>
      </c>
    </row>
    <row r="16" spans="1:46" ht="32" x14ac:dyDescent="0.2">
      <c r="A16" s="26">
        <v>2011</v>
      </c>
      <c r="B16" s="26" t="s">
        <v>442</v>
      </c>
      <c r="C16" s="26" t="s">
        <v>443</v>
      </c>
      <c r="D16" s="26" t="s">
        <v>444</v>
      </c>
      <c r="E16" s="27">
        <v>809102527.62997615</v>
      </c>
      <c r="F16" s="28">
        <v>17844</v>
      </c>
      <c r="G16" s="28">
        <v>2205662</v>
      </c>
      <c r="H16" s="27">
        <v>49069914.20999819</v>
      </c>
      <c r="I16" s="27">
        <v>45343.114079240993</v>
      </c>
      <c r="J16" s="87">
        <v>366.82978970938262</v>
      </c>
      <c r="K16" s="27" t="s">
        <v>445</v>
      </c>
      <c r="L16" s="28">
        <v>104141</v>
      </c>
      <c r="M16" s="28">
        <v>5008</v>
      </c>
      <c r="N16" s="28">
        <v>12836</v>
      </c>
      <c r="O16" s="27">
        <v>772615.54000002902</v>
      </c>
      <c r="P16" s="27">
        <v>48297298.669998161</v>
      </c>
      <c r="Q16" s="27">
        <v>154.27626597444669</v>
      </c>
      <c r="R16" s="29">
        <v>3762.644022280941</v>
      </c>
    </row>
    <row r="17" spans="1:18" ht="32" x14ac:dyDescent="0.2">
      <c r="A17" s="22">
        <v>2012</v>
      </c>
      <c r="B17" s="22" t="s">
        <v>442</v>
      </c>
      <c r="C17" s="22" t="s">
        <v>443</v>
      </c>
      <c r="D17" s="22" t="s">
        <v>444</v>
      </c>
      <c r="E17" s="23">
        <v>1017195339.299997</v>
      </c>
      <c r="F17" s="24">
        <v>20391</v>
      </c>
      <c r="G17" s="24">
        <v>2612956.25</v>
      </c>
      <c r="H17" s="23">
        <v>59667104.699998878</v>
      </c>
      <c r="I17" s="23">
        <v>49884.524510813448</v>
      </c>
      <c r="J17" s="86">
        <v>389.28908178236708</v>
      </c>
      <c r="K17" s="23" t="s">
        <v>445</v>
      </c>
      <c r="L17" s="24">
        <v>124546</v>
      </c>
      <c r="M17" s="24">
        <v>5572</v>
      </c>
      <c r="N17" s="24">
        <v>14819</v>
      </c>
      <c r="O17" s="23">
        <v>826135.25000001991</v>
      </c>
      <c r="P17" s="23">
        <v>58840969.449998863</v>
      </c>
      <c r="Q17" s="23">
        <v>148.26547918162601</v>
      </c>
      <c r="R17" s="25">
        <v>3970.6437310209089</v>
      </c>
    </row>
    <row r="18" spans="1:18" ht="32" x14ac:dyDescent="0.2">
      <c r="A18" s="26">
        <v>2013</v>
      </c>
      <c r="B18" s="26" t="s">
        <v>442</v>
      </c>
      <c r="C18" s="26" t="s">
        <v>443</v>
      </c>
      <c r="D18" s="26" t="s">
        <v>444</v>
      </c>
      <c r="E18" s="27">
        <v>1349964592.2699969</v>
      </c>
      <c r="F18" s="28">
        <v>24637</v>
      </c>
      <c r="G18" s="28">
        <v>3227606</v>
      </c>
      <c r="H18" s="27">
        <v>70445320.950001657</v>
      </c>
      <c r="I18" s="27">
        <v>54794.195408125852</v>
      </c>
      <c r="J18" s="87">
        <v>418.25569548141772</v>
      </c>
      <c r="K18" s="27" t="s">
        <v>445</v>
      </c>
      <c r="L18" s="28">
        <v>153782</v>
      </c>
      <c r="M18" s="28">
        <v>6019</v>
      </c>
      <c r="N18" s="28">
        <v>18618</v>
      </c>
      <c r="O18" s="27">
        <v>869863.71999996423</v>
      </c>
      <c r="P18" s="27">
        <v>69575457.230001688</v>
      </c>
      <c r="Q18" s="27">
        <v>144.51964113639539</v>
      </c>
      <c r="R18" s="29">
        <v>3736.9995289505691</v>
      </c>
    </row>
    <row r="19" spans="1:18" ht="32" x14ac:dyDescent="0.2">
      <c r="A19" s="22">
        <v>2014</v>
      </c>
      <c r="B19" s="22" t="s">
        <v>442</v>
      </c>
      <c r="C19" s="22" t="s">
        <v>443</v>
      </c>
      <c r="D19" s="22" t="s">
        <v>444</v>
      </c>
      <c r="E19" s="23">
        <v>1671622656.6900101</v>
      </c>
      <c r="F19" s="24">
        <v>27143</v>
      </c>
      <c r="G19" s="24">
        <v>3707616</v>
      </c>
      <c r="H19" s="23">
        <v>82121407.279999092</v>
      </c>
      <c r="I19" s="23">
        <v>61585.773742401732</v>
      </c>
      <c r="J19" s="86">
        <v>450.86186290328072</v>
      </c>
      <c r="K19" s="23" t="s">
        <v>445</v>
      </c>
      <c r="L19" s="24">
        <v>178377</v>
      </c>
      <c r="M19" s="24">
        <v>6319</v>
      </c>
      <c r="N19" s="24">
        <v>20824</v>
      </c>
      <c r="O19" s="23">
        <v>984710.5599999862</v>
      </c>
      <c r="P19" s="23">
        <v>81136696.719999105</v>
      </c>
      <c r="Q19" s="23">
        <v>155.8332900775417</v>
      </c>
      <c r="R19" s="25">
        <v>3896.306988090621</v>
      </c>
    </row>
    <row r="21" spans="1:18" x14ac:dyDescent="0.2">
      <c r="A21" t="s">
        <v>561</v>
      </c>
    </row>
    <row r="22" spans="1:18" x14ac:dyDescent="0.2">
      <c r="A22" t="s">
        <v>424</v>
      </c>
      <c r="B22" t="s">
        <v>560</v>
      </c>
    </row>
    <row r="23" spans="1:18" x14ac:dyDescent="0.2">
      <c r="A23">
        <f>A15</f>
        <v>2010</v>
      </c>
      <c r="B23" s="39">
        <f>J15</f>
        <v>350.27887189167751</v>
      </c>
    </row>
    <row r="24" spans="1:18" x14ac:dyDescent="0.2">
      <c r="A24">
        <f t="shared" ref="A24:A26" si="0">A16</f>
        <v>2011</v>
      </c>
      <c r="B24" s="39">
        <f t="shared" ref="B24:B25" si="1">J16</f>
        <v>366.82978970938262</v>
      </c>
    </row>
    <row r="25" spans="1:18" x14ac:dyDescent="0.2">
      <c r="A25">
        <f t="shared" si="0"/>
        <v>2012</v>
      </c>
      <c r="B25" s="39">
        <f t="shared" si="1"/>
        <v>389.28908178236708</v>
      </c>
    </row>
    <row r="26" spans="1:18" x14ac:dyDescent="0.2">
      <c r="A26">
        <f t="shared" si="0"/>
        <v>2013</v>
      </c>
      <c r="B26" s="39">
        <f>H10</f>
        <v>418.39983108000001</v>
      </c>
    </row>
    <row r="27" spans="1:18" x14ac:dyDescent="0.2">
      <c r="A27">
        <f>A19</f>
        <v>2014</v>
      </c>
      <c r="B27" s="39">
        <f>O10</f>
        <v>450.96503587000001</v>
      </c>
    </row>
    <row r="28" spans="1:18" x14ac:dyDescent="0.2">
      <c r="A28">
        <v>2015</v>
      </c>
      <c r="B28" s="39">
        <f>V10</f>
        <v>489.91125238000001</v>
      </c>
    </row>
    <row r="29" spans="1:18" x14ac:dyDescent="0.2">
      <c r="A29">
        <f>A28+1</f>
        <v>2016</v>
      </c>
      <c r="B29" s="39">
        <f>AC10</f>
        <v>543.59019733000002</v>
      </c>
    </row>
    <row r="30" spans="1:18" x14ac:dyDescent="0.2">
      <c r="A30">
        <f t="shared" ref="A30:A35" si="2">A29+1</f>
        <v>2017</v>
      </c>
      <c r="B30" s="39">
        <f>AJ10</f>
        <v>626.94004510000002</v>
      </c>
    </row>
    <row r="31" spans="1:18" x14ac:dyDescent="0.2">
      <c r="A31">
        <f t="shared" si="2"/>
        <v>2018</v>
      </c>
      <c r="B31">
        <f>Q4</f>
        <v>697.35425120000002</v>
      </c>
    </row>
    <row r="32" spans="1:18" x14ac:dyDescent="0.2">
      <c r="A32">
        <f t="shared" si="2"/>
        <v>2019</v>
      </c>
      <c r="B32">
        <f>Y4</f>
        <v>745.58849599999996</v>
      </c>
    </row>
    <row r="33" spans="1:2" x14ac:dyDescent="0.2">
      <c r="A33">
        <f t="shared" si="2"/>
        <v>2020</v>
      </c>
      <c r="B33">
        <f>P2</f>
        <v>794.32802649999996</v>
      </c>
    </row>
    <row r="34" spans="1:2" x14ac:dyDescent="0.2">
      <c r="A34">
        <f t="shared" si="2"/>
        <v>2021</v>
      </c>
      <c r="B34">
        <f>X2</f>
        <v>840.1744443</v>
      </c>
    </row>
    <row r="35" spans="1:2" x14ac:dyDescent="0.2">
      <c r="A35">
        <f t="shared" si="2"/>
        <v>2022</v>
      </c>
      <c r="B35">
        <f>AF2</f>
        <v>883.09617739999999</v>
      </c>
    </row>
    <row r="36" spans="1:2" x14ac:dyDescent="0.2">
      <c r="A36">
        <f>A35+1</f>
        <v>2023</v>
      </c>
      <c r="B36">
        <f>AN2</f>
        <v>878.21219629999996</v>
      </c>
    </row>
  </sheetData>
  <mergeCells count="6">
    <mergeCell ref="AM8:AN8"/>
    <mergeCell ref="D8:J8"/>
    <mergeCell ref="K8:Q8"/>
    <mergeCell ref="R8:X8"/>
    <mergeCell ref="Y8:AE8"/>
    <mergeCell ref="AF8:AL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E595-8E0B-8740-A0DE-307300229E87}">
  <dimension ref="A1:B16"/>
  <sheetViews>
    <sheetView workbookViewId="0">
      <selection sqref="A1:B16"/>
    </sheetView>
  </sheetViews>
  <sheetFormatPr baseColWidth="10" defaultRowHeight="16" x14ac:dyDescent="0.2"/>
  <sheetData>
    <row r="1" spans="1:2" x14ac:dyDescent="0.2">
      <c r="A1" t="s">
        <v>561</v>
      </c>
    </row>
    <row r="2" spans="1:2" x14ac:dyDescent="0.2">
      <c r="A2" t="s">
        <v>424</v>
      </c>
      <c r="B2" t="s">
        <v>560</v>
      </c>
    </row>
    <row r="3" spans="1:2" x14ac:dyDescent="0.2">
      <c r="A3">
        <v>2010</v>
      </c>
      <c r="B3" s="39">
        <v>350.27887189167751</v>
      </c>
    </row>
    <row r="4" spans="1:2" x14ac:dyDescent="0.2">
      <c r="A4">
        <v>2011</v>
      </c>
      <c r="B4" s="39">
        <v>366.82978970938262</v>
      </c>
    </row>
    <row r="5" spans="1:2" x14ac:dyDescent="0.2">
      <c r="A5">
        <v>2012</v>
      </c>
      <c r="B5" s="39">
        <v>389.28908178236708</v>
      </c>
    </row>
    <row r="6" spans="1:2" x14ac:dyDescent="0.2">
      <c r="A6">
        <v>2013</v>
      </c>
      <c r="B6" s="39">
        <v>418.39983108000001</v>
      </c>
    </row>
    <row r="7" spans="1:2" x14ac:dyDescent="0.2">
      <c r="A7">
        <v>2014</v>
      </c>
      <c r="B7" s="39">
        <v>450.96503587000001</v>
      </c>
    </row>
    <row r="8" spans="1:2" x14ac:dyDescent="0.2">
      <c r="A8">
        <v>2015</v>
      </c>
      <c r="B8" s="39">
        <v>489.91125238000001</v>
      </c>
    </row>
    <row r="9" spans="1:2" x14ac:dyDescent="0.2">
      <c r="A9">
        <v>2016</v>
      </c>
      <c r="B9" s="39">
        <v>543.59019733000002</v>
      </c>
    </row>
    <row r="10" spans="1:2" x14ac:dyDescent="0.2">
      <c r="A10">
        <v>2017</v>
      </c>
      <c r="B10" s="39">
        <v>626.94004510000002</v>
      </c>
    </row>
    <row r="11" spans="1:2" x14ac:dyDescent="0.2">
      <c r="A11">
        <v>2018</v>
      </c>
      <c r="B11">
        <v>697.35425120000002</v>
      </c>
    </row>
    <row r="12" spans="1:2" x14ac:dyDescent="0.2">
      <c r="A12">
        <v>2019</v>
      </c>
      <c r="B12">
        <v>745.58849599999996</v>
      </c>
    </row>
    <row r="13" spans="1:2" x14ac:dyDescent="0.2">
      <c r="A13">
        <v>2020</v>
      </c>
      <c r="B13">
        <v>794.32802649999996</v>
      </c>
    </row>
    <row r="14" spans="1:2" x14ac:dyDescent="0.2">
      <c r="A14">
        <v>2021</v>
      </c>
      <c r="B14">
        <v>840.1744443</v>
      </c>
    </row>
    <row r="15" spans="1:2" x14ac:dyDescent="0.2">
      <c r="A15">
        <v>2022</v>
      </c>
      <c r="B15">
        <v>883.09617739999999</v>
      </c>
    </row>
    <row r="16" spans="1:2" x14ac:dyDescent="0.2">
      <c r="A16">
        <v>2023</v>
      </c>
      <c r="B16">
        <v>878.21219629999996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1215-D322-E94F-8B7A-061BFF16DCC0}">
  <dimension ref="A1:D28"/>
  <sheetViews>
    <sheetView workbookViewId="0">
      <selection activeCell="D13" sqref="D13"/>
    </sheetView>
  </sheetViews>
  <sheetFormatPr baseColWidth="10" defaultRowHeight="16" x14ac:dyDescent="0.2"/>
  <sheetData>
    <row r="1" spans="1:4" x14ac:dyDescent="0.2">
      <c r="A1" s="2" t="s">
        <v>4</v>
      </c>
      <c r="B1" s="2" t="s">
        <v>5</v>
      </c>
      <c r="C1" t="s">
        <v>424</v>
      </c>
      <c r="D1" t="s">
        <v>559</v>
      </c>
    </row>
    <row r="2" spans="1:4" x14ac:dyDescent="0.2">
      <c r="A2" s="4">
        <v>38715</v>
      </c>
      <c r="B2" s="1">
        <v>258</v>
      </c>
      <c r="C2" s="3">
        <v>40543</v>
      </c>
      <c r="D2">
        <f>'Medicare Cost'!B23</f>
        <v>350.27887189167751</v>
      </c>
    </row>
    <row r="3" spans="1:4" x14ac:dyDescent="0.2">
      <c r="A3" s="4">
        <v>39085</v>
      </c>
      <c r="B3" s="1">
        <v>283.54199999999997</v>
      </c>
      <c r="C3" s="3">
        <f>C2+365</f>
        <v>40908</v>
      </c>
      <c r="D3">
        <f>'Medicare Cost'!B24</f>
        <v>366.82978970938262</v>
      </c>
    </row>
    <row r="4" spans="1:4" x14ac:dyDescent="0.2">
      <c r="A4" s="4">
        <v>39451</v>
      </c>
      <c r="B4" s="1">
        <v>311.61270000000002</v>
      </c>
      <c r="C4" s="3">
        <v>41274</v>
      </c>
      <c r="D4">
        <f>'Medicare Cost'!B25</f>
        <v>389.28908178236708</v>
      </c>
    </row>
    <row r="5" spans="1:4" x14ac:dyDescent="0.2">
      <c r="A5" s="4">
        <v>39787</v>
      </c>
      <c r="B5" s="1">
        <v>324.07709999999997</v>
      </c>
      <c r="C5" s="3">
        <f t="shared" ref="C5:C15" si="0">C4+365</f>
        <v>41639</v>
      </c>
      <c r="D5">
        <f>'Medicare Cost'!B26</f>
        <v>418.39983108000001</v>
      </c>
    </row>
    <row r="6" spans="1:4" x14ac:dyDescent="0.2">
      <c r="A6" s="4">
        <v>39939</v>
      </c>
      <c r="B6" s="1">
        <v>356.29039999999998</v>
      </c>
      <c r="C6" s="3">
        <f t="shared" si="0"/>
        <v>42004</v>
      </c>
      <c r="D6">
        <f>'Medicare Cost'!B27</f>
        <v>450.96503587000001</v>
      </c>
    </row>
    <row r="7" spans="1:4" x14ac:dyDescent="0.2">
      <c r="A7" s="4">
        <v>40183</v>
      </c>
      <c r="B7" s="1">
        <v>388.00029999999998</v>
      </c>
      <c r="C7" s="3">
        <f t="shared" si="0"/>
        <v>42369</v>
      </c>
      <c r="D7">
        <f>'Medicare Cost'!B28</f>
        <v>489.91125238000001</v>
      </c>
    </row>
    <row r="8" spans="1:4" x14ac:dyDescent="0.2">
      <c r="A8" s="4">
        <v>40523</v>
      </c>
      <c r="B8" s="1">
        <v>415.15570000000002</v>
      </c>
      <c r="C8" s="3">
        <v>42735</v>
      </c>
      <c r="D8">
        <f>'Medicare Cost'!B29</f>
        <v>543.59019733000002</v>
      </c>
    </row>
    <row r="9" spans="1:4" x14ac:dyDescent="0.2">
      <c r="A9" s="4">
        <v>40876</v>
      </c>
      <c r="B9" s="1">
        <v>440.06509999999997</v>
      </c>
      <c r="C9" s="3">
        <f t="shared" si="0"/>
        <v>43100</v>
      </c>
      <c r="D9">
        <f>'Medicare Cost'!B30</f>
        <v>626.94004510000002</v>
      </c>
    </row>
    <row r="10" spans="1:4" x14ac:dyDescent="0.2">
      <c r="A10" s="4">
        <v>41214</v>
      </c>
      <c r="B10" s="1">
        <v>466.46910000000003</v>
      </c>
      <c r="C10" s="3">
        <f t="shared" si="0"/>
        <v>43465</v>
      </c>
      <c r="D10">
        <f>'Medicare Cost'!B31</f>
        <v>697.35425120000002</v>
      </c>
    </row>
    <row r="11" spans="1:4" x14ac:dyDescent="0.2">
      <c r="A11" s="4">
        <v>41363</v>
      </c>
      <c r="B11" s="1">
        <v>480.4631</v>
      </c>
      <c r="C11" s="3">
        <f t="shared" si="0"/>
        <v>43830</v>
      </c>
      <c r="D11">
        <f>'Medicare Cost'!B32</f>
        <v>745.58849599999996</v>
      </c>
    </row>
    <row r="12" spans="1:4" x14ac:dyDescent="0.2">
      <c r="A12" s="4">
        <v>41548</v>
      </c>
      <c r="B12" s="1">
        <v>494.87700000000001</v>
      </c>
      <c r="C12" s="3">
        <f>C11+366</f>
        <v>44196</v>
      </c>
      <c r="D12">
        <f>'Medicare Cost'!B33</f>
        <v>794.32802649999996</v>
      </c>
    </row>
    <row r="13" spans="1:4" x14ac:dyDescent="0.2">
      <c r="A13" s="4">
        <v>41704</v>
      </c>
      <c r="B13" s="1">
        <v>514.6721</v>
      </c>
      <c r="C13" s="3">
        <f t="shared" si="0"/>
        <v>44561</v>
      </c>
      <c r="D13">
        <f>'Medicare Cost'!B34</f>
        <v>840.1744443</v>
      </c>
    </row>
    <row r="14" spans="1:4" x14ac:dyDescent="0.2">
      <c r="A14" s="4">
        <v>41885</v>
      </c>
      <c r="B14" s="1">
        <v>546.73199999999997</v>
      </c>
      <c r="C14" s="3">
        <f t="shared" si="0"/>
        <v>44926</v>
      </c>
      <c r="D14">
        <f>'Medicare Cost'!B35</f>
        <v>883.09617739999999</v>
      </c>
    </row>
    <row r="15" spans="1:4" x14ac:dyDescent="0.2">
      <c r="A15" s="4">
        <v>41996</v>
      </c>
      <c r="B15" s="1">
        <v>563.13390000000004</v>
      </c>
      <c r="C15" s="3">
        <f t="shared" si="0"/>
        <v>45291</v>
      </c>
      <c r="D15">
        <f>'Medicare Cost'!B36</f>
        <v>878.21219629999996</v>
      </c>
    </row>
    <row r="16" spans="1:4" x14ac:dyDescent="0.2">
      <c r="A16" s="4">
        <v>42180</v>
      </c>
      <c r="B16" s="1">
        <v>580.02790000000005</v>
      </c>
    </row>
    <row r="17" spans="1:2" x14ac:dyDescent="0.2">
      <c r="A17" s="4">
        <v>42279</v>
      </c>
      <c r="B17" s="1">
        <v>603.22910000000002</v>
      </c>
    </row>
    <row r="18" spans="1:2" x14ac:dyDescent="0.2">
      <c r="A18" s="4">
        <v>42439</v>
      </c>
      <c r="B18" s="1">
        <v>644.24869999999999</v>
      </c>
    </row>
    <row r="19" spans="1:2" x14ac:dyDescent="0.2">
      <c r="A19" s="4">
        <v>42602</v>
      </c>
      <c r="B19" s="1">
        <v>663.57619999999997</v>
      </c>
    </row>
    <row r="20" spans="1:2" x14ac:dyDescent="0.2">
      <c r="A20" s="4">
        <v>42746</v>
      </c>
      <c r="B20" s="1">
        <v>716.66219999999998</v>
      </c>
    </row>
    <row r="21" spans="1:2" x14ac:dyDescent="0.2">
      <c r="A21" s="4">
        <v>42927</v>
      </c>
      <c r="B21" s="1">
        <v>729.2038</v>
      </c>
    </row>
    <row r="22" spans="1:2" x14ac:dyDescent="0.2">
      <c r="A22" s="4">
        <v>43028</v>
      </c>
      <c r="B22" s="1">
        <v>794.83209999999997</v>
      </c>
    </row>
    <row r="23" spans="1:2" x14ac:dyDescent="0.2">
      <c r="A23" s="4">
        <v>43291</v>
      </c>
      <c r="B23" s="1">
        <v>834.57380000000001</v>
      </c>
    </row>
    <row r="24" spans="1:2" x14ac:dyDescent="0.2">
      <c r="A24" s="4">
        <v>43468</v>
      </c>
      <c r="B24" s="1">
        <v>863.78380000000004</v>
      </c>
    </row>
    <row r="25" spans="1:2" x14ac:dyDescent="0.2">
      <c r="A25" s="4">
        <v>43831</v>
      </c>
      <c r="B25" s="1">
        <v>915.61080000000004</v>
      </c>
    </row>
    <row r="26" spans="1:2" x14ac:dyDescent="0.2">
      <c r="A26" s="4">
        <v>44197</v>
      </c>
      <c r="B26" s="1">
        <v>956.81330000000003</v>
      </c>
    </row>
    <row r="27" spans="1:2" x14ac:dyDescent="0.2">
      <c r="A27" s="4">
        <v>44562</v>
      </c>
      <c r="B27" s="1">
        <v>999.86990000000003</v>
      </c>
    </row>
    <row r="28" spans="1:2" x14ac:dyDescent="0.2">
      <c r="A28" s="4">
        <v>45474</v>
      </c>
      <c r="B28" s="1">
        <v>1069.8607999999999</v>
      </c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REDBOOK</vt:lpstr>
      <vt:lpstr>STOCK</vt:lpstr>
      <vt:lpstr>MEDICARE D</vt:lpstr>
      <vt:lpstr>Medicare Cost</vt:lpstr>
      <vt:lpstr>Sheet1</vt:lpstr>
      <vt:lpstr>Datawrapper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Landerman</dc:creator>
  <cp:lastModifiedBy>David Landerman</cp:lastModifiedBy>
  <dcterms:created xsi:type="dcterms:W3CDTF">2026-01-12T16:14:58Z</dcterms:created>
  <dcterms:modified xsi:type="dcterms:W3CDTF">2026-01-14T01:23:59Z</dcterms:modified>
</cp:coreProperties>
</file>